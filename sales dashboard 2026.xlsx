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lavan\OneDrive\Desktop\"/>
    </mc:Choice>
  </mc:AlternateContent>
  <xr:revisionPtr revIDLastSave="0" documentId="8_{6A6CA867-3F53-4FE1-9D0C-04AD7EF9C99D}" xr6:coauthVersionLast="47" xr6:coauthVersionMax="47" xr10:uidLastSave="{00000000-0000-0000-0000-000000000000}"/>
  <bookViews>
    <workbookView xWindow="-108" yWindow="-108" windowWidth="23256" windowHeight="12456" firstSheet="1" activeTab="1" xr2:uid="{00000000-000D-0000-FFFF-FFFF00000000}"/>
  </bookViews>
  <sheets>
    <sheet name="Sheet2" sheetId="2" r:id="rId1"/>
    <sheet name="Sheet7" sheetId="7" r:id="rId2"/>
    <sheet name="Sheet3" sheetId="3" r:id="rId3"/>
    <sheet name="Sheet4" sheetId="4" r:id="rId4"/>
    <sheet name="Sheet5" sheetId="5" r:id="rId5"/>
    <sheet name="Sheet 6" sheetId="12" r:id="rId6"/>
    <sheet name="Sheet1" sheetId="1" r:id="rId7"/>
    <sheet name="Sheet8" sheetId="8" r:id="rId8"/>
    <sheet name="Sheet9" sheetId="9" r:id="rId9"/>
  </sheets>
  <definedNames>
    <definedName name="_xlnm._FilterDatabase" localSheetId="1" hidden="1">Sheet7!$AD$7:$AF$7</definedName>
    <definedName name="Slicer_Category">#N/A</definedName>
    <definedName name="Slicer_Date">#N/A</definedName>
    <definedName name="Slicer_Product1">#N/A</definedName>
    <definedName name="Slicer_Profit">#N/A</definedName>
    <definedName name="Slicer_Region">#N/A</definedName>
    <definedName name="Slicer_Region1">#N/A</definedName>
    <definedName name="Slicer_Sales">#N/A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9" i="7" l="1"/>
  <c r="G9" i="7"/>
</calcChain>
</file>

<file path=xl/sharedStrings.xml><?xml version="1.0" encoding="utf-8"?>
<sst xmlns="http://schemas.openxmlformats.org/spreadsheetml/2006/main" count="122" uniqueCount="37">
  <si>
    <t>Region</t>
  </si>
  <si>
    <t>Sum of Sales</t>
  </si>
  <si>
    <t>East</t>
  </si>
  <si>
    <t>North</t>
  </si>
  <si>
    <t>South</t>
  </si>
  <si>
    <t>West</t>
  </si>
  <si>
    <t>Grand Total</t>
  </si>
  <si>
    <t>Sum of Profit</t>
  </si>
  <si>
    <t>Category</t>
  </si>
  <si>
    <t>Electronics</t>
  </si>
  <si>
    <t>Furniture</t>
  </si>
  <si>
    <t>Date</t>
  </si>
  <si>
    <t>15-01-2026</t>
  </si>
  <si>
    <t>15-02-2026</t>
  </si>
  <si>
    <t>18-01-2026</t>
  </si>
  <si>
    <t>18-02-2026</t>
  </si>
  <si>
    <t>20-01-2026</t>
  </si>
  <si>
    <t>22-01-2026</t>
  </si>
  <si>
    <t>22-02-2026</t>
  </si>
  <si>
    <t>25-01-2026</t>
  </si>
  <si>
    <t>25-02-2026</t>
  </si>
  <si>
    <t>28-01-2026</t>
  </si>
  <si>
    <t>Row Labels</t>
  </si>
  <si>
    <t>Chair</t>
  </si>
  <si>
    <t>Laptop</t>
  </si>
  <si>
    <t>Mobile</t>
  </si>
  <si>
    <t>Printer</t>
  </si>
  <si>
    <t>Sofa</t>
  </si>
  <si>
    <t>Table</t>
  </si>
  <si>
    <t>Order ID</t>
  </si>
  <si>
    <t>Product</t>
  </si>
  <si>
    <t>Sales</t>
  </si>
  <si>
    <t>Profit</t>
  </si>
  <si>
    <t>Quantity</t>
  </si>
  <si>
    <t>TOTAL SALES</t>
  </si>
  <si>
    <t>PROFIT</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</si>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</sst>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b/>
      <sz val="18"/>
      <color theme="1"/>
      <name val="Aptos Narrow"/>
      <family val="2"/>
      <scheme val="minor"/>
    </font>
    <font>
      <b/>
      <sz val="16"/>
      <color theme="1"/>
      <name val="Aptos Narrow"/>
      <family val="2"/>
      <scheme val="minor"/>
    </font>
    <font>
      <b/>
      <sz val="22"/>
      <color theme="1"/>
      <name val="Aptos Narrow"/>
      <family val="2"/>
      <scheme val="minor"/>
    </font>
    <font>
      <sz val="11"/>
      <color theme="0"/>
      <name val="Aptos Narrow"/>
      <family val="2"/>
      <scheme val="minor"/>
    </font>
    <font>
      <b/>
      <sz val="11"/>
      <color theme="0"/>
      <name val="Aptos Narrow"/>
      <family val="2"/>
      <scheme val="minor"/>
    </font>
    <font>
      <sz val="11"/>
      <color rgb="FFFF0000"/>
      <name val="Aptos Narrow"/>
      <family val="2"/>
      <scheme val="minor"/>
    </font>
    <font>
      <b/>
      <sz val="22"/>
      <color rgb="FFFF0000"/>
      <name val="Aptos Narrow"/>
      <family val="2"/>
      <scheme val="minor"/>
    </font>
    <font>
      <b/>
      <sz val="26"/>
      <color theme="1"/>
      <name val="Aptos Narrow"/>
      <family val="2"/>
      <scheme val="minor"/>
    </font>
    <font>
      <sz val="26"/>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7" tint="-0.249977111117893"/>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14" fontId="0" fillId="0" borderId="0" xfId="0" applyNumberFormat="1"/>
    <xf numFmtId="0" fontId="0" fillId="0" borderId="0" xfId="0" pivotButton="1"/>
    <xf numFmtId="0" fontId="3" fillId="0" borderId="0" xfId="0" applyFont="1"/>
    <xf numFmtId="0" fontId="0" fillId="0" borderId="0" xfId="0" applyAlignment="1">
      <alignment horizontal="left"/>
    </xf>
    <xf numFmtId="0" fontId="0" fillId="0" borderId="0" xfId="0" applyAlignment="1">
      <alignment horizontal="center"/>
    </xf>
    <xf numFmtId="0" fontId="4" fillId="0" borderId="0" xfId="0" applyFont="1"/>
    <xf numFmtId="0" fontId="3" fillId="0" borderId="0" xfId="0" applyFont="1" applyAlignment="1">
      <alignment horizontal="center"/>
    </xf>
    <xf numFmtId="0" fontId="5" fillId="0" borderId="0" xfId="0" applyFont="1"/>
    <xf numFmtId="0" fontId="6" fillId="0" borderId="0" xfId="0" applyFont="1"/>
    <xf numFmtId="0" fontId="4" fillId="2" borderId="0" xfId="0" applyFont="1" applyFill="1"/>
    <xf numFmtId="0" fontId="4" fillId="4" borderId="0" xfId="0" applyFont="1" applyFill="1"/>
    <xf numFmtId="0" fontId="2" fillId="0" borderId="0" xfId="0" applyFont="1" applyAlignment="1">
      <alignment horizontal="center"/>
    </xf>
    <xf numFmtId="0" fontId="4" fillId="3" borderId="0" xfId="0" applyFont="1" applyFill="1" applyAlignment="1">
      <alignment horizontal="center"/>
    </xf>
    <xf numFmtId="0" fontId="8" fillId="5" borderId="0" xfId="0" applyFont="1" applyFill="1"/>
    <xf numFmtId="0" fontId="7" fillId="5" borderId="0" xfId="0" applyFont="1" applyFill="1"/>
    <xf numFmtId="0" fontId="9" fillId="0" borderId="0" xfId="0" applyFont="1"/>
    <xf numFmtId="0" fontId="10" fillId="0" borderId="0" xfId="0" applyFont="1" applyAlignment="1">
      <alignment horizontal="center"/>
    </xf>
  </cellXfs>
  <cellStyles count="1">
    <cellStyle name="Normal" xfId="0" builtinId="0"/>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2026.xlsx]Sheet2!PivotTable2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REGION CHART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Sheet2!$A$4:$A$8</c:f>
              <c:strCache>
                <c:ptCount val="4"/>
                <c:pt idx="0">
                  <c:v>East</c:v>
                </c:pt>
                <c:pt idx="1">
                  <c:v>North</c:v>
                </c:pt>
                <c:pt idx="2">
                  <c:v>South</c:v>
                </c:pt>
                <c:pt idx="3">
                  <c:v>West</c:v>
                </c:pt>
              </c:strCache>
            </c:strRef>
          </c:cat>
          <c:val>
            <c:numRef>
              <c:f>Sheet2!$B$4:$B$8</c:f>
              <c:numCache>
                <c:formatCode>General</c:formatCode>
                <c:ptCount val="4"/>
                <c:pt idx="0">
                  <c:v>128000</c:v>
                </c:pt>
                <c:pt idx="1">
                  <c:v>143000</c:v>
                </c:pt>
                <c:pt idx="2">
                  <c:v>137000</c:v>
                </c:pt>
                <c:pt idx="3">
                  <c:v>148000</c:v>
                </c:pt>
              </c:numCache>
            </c:numRef>
          </c:val>
          <c:extLst>
            <c:ext xmlns:c16="http://schemas.microsoft.com/office/drawing/2014/chart" uri="{C3380CC4-5D6E-409C-BE32-E72D297353CC}">
              <c16:uniqueId val="{00000000-BB95-43E5-9080-79C02088B074}"/>
            </c:ext>
          </c:extLst>
        </c:ser>
        <c:dLbls>
          <c:dLblPos val="outEnd"/>
          <c:showLegendKey val="0"/>
          <c:showVal val="1"/>
          <c:showCatName val="0"/>
          <c:showSerName val="0"/>
          <c:showPercent val="0"/>
          <c:showBubbleSize val="0"/>
        </c:dLbls>
        <c:gapWidth val="100"/>
        <c:overlap val="-24"/>
        <c:axId val="1705547784"/>
        <c:axId val="1705542152"/>
      </c:barChart>
      <c:catAx>
        <c:axId val="17055477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05542152"/>
        <c:crosses val="autoZero"/>
        <c:auto val="1"/>
        <c:lblAlgn val="ctr"/>
        <c:lblOffset val="100"/>
        <c:noMultiLvlLbl val="0"/>
      </c:catAx>
      <c:valAx>
        <c:axId val="1705542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05547784"/>
        <c:crosses val="autoZero"/>
        <c:crossBetween val="between"/>
      </c:valAx>
      <c:dTable>
        <c:showHorzBorder val="1"/>
        <c:showVertBorder val="1"/>
        <c:showOutline val="1"/>
        <c:showKeys val="0"/>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2026.xlsx]Sheet3!PivotTable3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REGION CHART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Sheet3!$A$4:$A$8</c:f>
              <c:strCache>
                <c:ptCount val="4"/>
                <c:pt idx="0">
                  <c:v>East</c:v>
                </c:pt>
                <c:pt idx="1">
                  <c:v>North</c:v>
                </c:pt>
                <c:pt idx="2">
                  <c:v>South</c:v>
                </c:pt>
                <c:pt idx="3">
                  <c:v>West</c:v>
                </c:pt>
              </c:strCache>
            </c:strRef>
          </c:cat>
          <c:val>
            <c:numRef>
              <c:f>Sheet3!$B$4:$B$8</c:f>
              <c:numCache>
                <c:formatCode>General</c:formatCode>
                <c:ptCount val="4"/>
                <c:pt idx="0">
                  <c:v>21400</c:v>
                </c:pt>
                <c:pt idx="1">
                  <c:v>23500</c:v>
                </c:pt>
                <c:pt idx="2">
                  <c:v>22500</c:v>
                </c:pt>
                <c:pt idx="3">
                  <c:v>24900</c:v>
                </c:pt>
              </c:numCache>
            </c:numRef>
          </c:val>
          <c:extLst>
            <c:ext xmlns:c16="http://schemas.microsoft.com/office/drawing/2014/chart" uri="{C3380CC4-5D6E-409C-BE32-E72D297353CC}">
              <c16:uniqueId val="{00000000-FF94-4D4E-9397-7F1E50E8911E}"/>
            </c:ext>
          </c:extLst>
        </c:ser>
        <c:dLbls>
          <c:showLegendKey val="0"/>
          <c:showVal val="0"/>
          <c:showCatName val="0"/>
          <c:showSerName val="0"/>
          <c:showPercent val="0"/>
          <c:showBubbleSize val="0"/>
        </c:dLbls>
        <c:gapWidth val="115"/>
        <c:overlap val="-20"/>
        <c:axId val="71033352"/>
        <c:axId val="71035400"/>
      </c:barChart>
      <c:catAx>
        <c:axId val="710333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35400"/>
        <c:crosses val="autoZero"/>
        <c:auto val="1"/>
        <c:lblAlgn val="ctr"/>
        <c:lblOffset val="100"/>
        <c:noMultiLvlLbl val="0"/>
      </c:catAx>
      <c:valAx>
        <c:axId val="71035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33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2026.xlsx]Sheet4!PivotTable4</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CATEGORY CHART</a:t>
            </a:r>
          </a:p>
        </c:rich>
      </c:tx>
      <c:layout>
        <c:manualLayout>
          <c:xMode val="edge"/>
          <c:yMode val="edge"/>
          <c:x val="0.2213113148963447"/>
          <c:y val="3.744493457013657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s>
    <c:plotArea>
      <c:layout/>
      <c:pieChart>
        <c:varyColors val="1"/>
        <c:ser>
          <c:idx val="0"/>
          <c:order val="0"/>
          <c:tx>
            <c:strRef>
              <c:f>Sheet4!$B$3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3924-449D-9F09-89CEF35C6C2B}"/>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3924-449D-9F09-89CEF35C6C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Sheet4!$A$4:$A$6</c:f>
              <c:strCache>
                <c:ptCount val="2"/>
                <c:pt idx="0">
                  <c:v>Electronics</c:v>
                </c:pt>
                <c:pt idx="1">
                  <c:v>Furniture</c:v>
                </c:pt>
              </c:strCache>
            </c:strRef>
          </c:cat>
          <c:val>
            <c:numRef>
              <c:f>Sheet4!$B$4:$B$6</c:f>
              <c:numCache>
                <c:formatCode>General</c:formatCode>
                <c:ptCount val="2"/>
                <c:pt idx="0">
                  <c:v>364000</c:v>
                </c:pt>
                <c:pt idx="1">
                  <c:v>192000</c:v>
                </c:pt>
              </c:numCache>
            </c:numRef>
          </c:val>
          <c:extLst>
            <c:ext xmlns:c16="http://schemas.microsoft.com/office/drawing/2014/chart" uri="{C3380CC4-5D6E-409C-BE32-E72D297353CC}">
              <c16:uniqueId val="{00000004-3924-449D-9F09-89CEF35C6C2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2026.xlsx]Sheet5!PivotTable5</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 CHART</a:t>
            </a:r>
          </a:p>
        </c:rich>
      </c:tx>
      <c:layout>
        <c:manualLayout>
          <c:xMode val="edge"/>
          <c:yMode val="edge"/>
          <c:x val="0.16140564977482877"/>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45F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145F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pattFill prst="ltUpDiag">
              <a:fgClr>
                <a:schemeClr val="accent1"/>
              </a:fgClr>
              <a:bgClr>
                <a:schemeClr val="lt1"/>
              </a:bgClr>
            </a:pattFill>
            <a:ln>
              <a:noFill/>
            </a:ln>
            <a:effectLst/>
          </c:spPr>
          <c:invertIfNegative val="0"/>
          <c:cat>
            <c:strRef>
              <c:f>Sheet5!$A$4:$A$24</c:f>
              <c:strCache>
                <c:ptCount val="20"/>
                <c:pt idx="0">
                  <c:v>15-01-2026</c:v>
                </c:pt>
                <c:pt idx="1">
                  <c:v>15-02-2026</c:v>
                </c:pt>
                <c:pt idx="2">
                  <c:v>18-01-2026</c:v>
                </c:pt>
                <c:pt idx="3">
                  <c:v>18-02-2026</c:v>
                </c:pt>
                <c:pt idx="4">
                  <c:v>20-01-2026</c:v>
                </c:pt>
                <c:pt idx="5">
                  <c:v>22-01-2026</c:v>
                </c:pt>
                <c:pt idx="6">
                  <c:v>22-02-2026</c:v>
                </c:pt>
                <c:pt idx="7">
                  <c:v>25-01-2026</c:v>
                </c:pt>
                <c:pt idx="8">
                  <c:v>25-02-2026</c:v>
                </c:pt>
                <c:pt idx="9">
                  <c:v>28-01-2026</c:v>
                </c:pt>
                <c:pt idx="10">
                  <c:v>01-01-2026</c:v>
                </c:pt>
                <c:pt idx="11">
                  <c:v>02-01-2026</c:v>
                </c:pt>
                <c:pt idx="12">
                  <c:v>01-03-2026</c:v>
                </c:pt>
                <c:pt idx="13">
                  <c:v>01-05-2026</c:v>
                </c:pt>
                <c:pt idx="14">
                  <c:v>02-05-2026</c:v>
                </c:pt>
                <c:pt idx="15">
                  <c:v>01-08-2026</c:v>
                </c:pt>
                <c:pt idx="16">
                  <c:v>02-08-2026</c:v>
                </c:pt>
                <c:pt idx="17">
                  <c:v>01-10-2026</c:v>
                </c:pt>
                <c:pt idx="18">
                  <c:v>01-12-2026</c:v>
                </c:pt>
                <c:pt idx="19">
                  <c:v>02-12-2026</c:v>
                </c:pt>
              </c:strCache>
            </c:strRef>
          </c:cat>
          <c:val>
            <c:numRef>
              <c:f>Sheet5!$B$4:$B$24</c:f>
              <c:numCache>
                <c:formatCode>General</c:formatCode>
                <c:ptCount val="20"/>
                <c:pt idx="0">
                  <c:v>22000</c:v>
                </c:pt>
                <c:pt idx="1">
                  <c:v>26000</c:v>
                </c:pt>
                <c:pt idx="2">
                  <c:v>55000</c:v>
                </c:pt>
                <c:pt idx="3">
                  <c:v>20000</c:v>
                </c:pt>
                <c:pt idx="4">
                  <c:v>14000</c:v>
                </c:pt>
                <c:pt idx="5">
                  <c:v>16000</c:v>
                </c:pt>
                <c:pt idx="6">
                  <c:v>58000</c:v>
                </c:pt>
                <c:pt idx="7">
                  <c:v>19000</c:v>
                </c:pt>
                <c:pt idx="8">
                  <c:v>34000</c:v>
                </c:pt>
                <c:pt idx="9">
                  <c:v>28000</c:v>
                </c:pt>
                <c:pt idx="10">
                  <c:v>50000</c:v>
                </c:pt>
                <c:pt idx="11">
                  <c:v>32000</c:v>
                </c:pt>
                <c:pt idx="12">
                  <c:v>25000</c:v>
                </c:pt>
                <c:pt idx="13">
                  <c:v>12000</c:v>
                </c:pt>
                <c:pt idx="14">
                  <c:v>52000</c:v>
                </c:pt>
                <c:pt idx="15">
                  <c:v>18000</c:v>
                </c:pt>
                <c:pt idx="16">
                  <c:v>17000</c:v>
                </c:pt>
                <c:pt idx="17">
                  <c:v>15000</c:v>
                </c:pt>
                <c:pt idx="18">
                  <c:v>30000</c:v>
                </c:pt>
                <c:pt idx="19">
                  <c:v>13000</c:v>
                </c:pt>
              </c:numCache>
            </c:numRef>
          </c:val>
          <c:extLst>
            <c:ext xmlns:c16="http://schemas.microsoft.com/office/drawing/2014/chart" uri="{C3380CC4-5D6E-409C-BE32-E72D297353CC}">
              <c16:uniqueId val="{00000000-2654-4F8D-BB8B-3409CFACD319}"/>
            </c:ext>
          </c:extLst>
        </c:ser>
        <c:dLbls>
          <c:showLegendKey val="0"/>
          <c:showVal val="0"/>
          <c:showCatName val="0"/>
          <c:showSerName val="0"/>
          <c:showPercent val="0"/>
          <c:showBubbleSize val="0"/>
        </c:dLbls>
        <c:gapWidth val="269"/>
        <c:overlap val="-20"/>
        <c:axId val="70980616"/>
        <c:axId val="70982664"/>
      </c:barChart>
      <c:catAx>
        <c:axId val="70980616"/>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0982664"/>
        <c:crosses val="autoZero"/>
        <c:auto val="1"/>
        <c:lblAlgn val="ctr"/>
        <c:lblOffset val="100"/>
        <c:noMultiLvlLbl val="0"/>
      </c:catAx>
      <c:valAx>
        <c:axId val="70982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0980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2026.xlsx]Sheet 6!PivotTable2</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PRODUCT BY SALES CHARTl</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s>
    <c:plotArea>
      <c:layout>
        <c:manualLayout>
          <c:layoutTarget val="inner"/>
          <c:xMode val="edge"/>
          <c:yMode val="edge"/>
          <c:x val="0.28854111986001751"/>
          <c:y val="0.33680336832895885"/>
          <c:w val="0.39791797900262466"/>
          <c:h val="0.66319663167104115"/>
        </c:manualLayout>
      </c:layout>
      <c:pieChart>
        <c:varyColors val="1"/>
        <c:ser>
          <c:idx val="0"/>
          <c:order val="0"/>
          <c:tx>
            <c:strRef>
              <c:f>'Sheet 6'!$B$3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F145-4C54-A219-B25A7A9224F8}"/>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F145-4C54-A219-B25A7A9224F8}"/>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F145-4C54-A219-B25A7A9224F8}"/>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F145-4C54-A219-B25A7A9224F8}"/>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F145-4C54-A219-B25A7A9224F8}"/>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F145-4C54-A219-B25A7A9224F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 6'!$A$4:$A$10</c:f>
              <c:strCache>
                <c:ptCount val="6"/>
                <c:pt idx="0">
                  <c:v>Chair</c:v>
                </c:pt>
                <c:pt idx="1">
                  <c:v>Laptop</c:v>
                </c:pt>
                <c:pt idx="2">
                  <c:v>Mobile</c:v>
                </c:pt>
                <c:pt idx="3">
                  <c:v>Printer</c:v>
                </c:pt>
                <c:pt idx="4">
                  <c:v>Sofa</c:v>
                </c:pt>
                <c:pt idx="5">
                  <c:v>Table</c:v>
                </c:pt>
              </c:strCache>
            </c:strRef>
          </c:cat>
          <c:val>
            <c:numRef>
              <c:f>'Sheet 6'!$B$4:$B$10</c:f>
              <c:numCache>
                <c:formatCode>General</c:formatCode>
                <c:ptCount val="6"/>
                <c:pt idx="0">
                  <c:v>39000</c:v>
                </c:pt>
                <c:pt idx="1">
                  <c:v>215000</c:v>
                </c:pt>
                <c:pt idx="2">
                  <c:v>101000</c:v>
                </c:pt>
                <c:pt idx="3">
                  <c:v>48000</c:v>
                </c:pt>
                <c:pt idx="4">
                  <c:v>96000</c:v>
                </c:pt>
                <c:pt idx="5">
                  <c:v>57000</c:v>
                </c:pt>
              </c:numCache>
            </c:numRef>
          </c:val>
          <c:extLst>
            <c:ext xmlns:c16="http://schemas.microsoft.com/office/drawing/2014/chart" uri="{C3380CC4-5D6E-409C-BE32-E72D297353CC}">
              <c16:uniqueId val="{0000000C-F145-4C54-A219-B25A7A9224F8}"/>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19050</xdr:colOff>
      <xdr:row>11</xdr:row>
      <xdr:rowOff>19050</xdr:rowOff>
    </xdr:from>
    <xdr:to>
      <xdr:col>18</xdr:col>
      <xdr:colOff>19050</xdr:colOff>
      <xdr:row>25</xdr:row>
      <xdr:rowOff>0</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4619B2BD-ABD2-FD1F-E508-0EE6E34BEC4E}"/>
                </a:ext>
                <a:ext uri="{147F2762-F138-4A5C-976F-8EAC2B608ADB}">
                  <a16:predDERef xmlns:a16="http://schemas.microsoft.com/office/drawing/2014/main" pred="{BAA8C5C2-5BCA-A9B6-011E-5DF7919C574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505950" y="21145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19</xdr:col>
      <xdr:colOff>104775</xdr:colOff>
      <xdr:row>13</xdr:row>
      <xdr:rowOff>9525</xdr:rowOff>
    </xdr:from>
    <xdr:to>
      <xdr:col>22</xdr:col>
      <xdr:colOff>104775</xdr:colOff>
      <xdr:row>26</xdr:row>
      <xdr:rowOff>171450</xdr:rowOff>
    </xdr:to>
    <mc:AlternateContent xmlns:mc="http://schemas.openxmlformats.org/markup-compatibility/2006" xmlns:a14="http://schemas.microsoft.com/office/drawing/2010/main">
      <mc:Choice Requires="a14">
        <xdr:graphicFrame macro="">
          <xdr:nvGraphicFramePr>
            <xdr:cNvPr id="4" name="Sales 2">
              <a:extLst>
                <a:ext uri="{FF2B5EF4-FFF2-40B4-BE49-F238E27FC236}">
                  <a16:creationId xmlns:a16="http://schemas.microsoft.com/office/drawing/2014/main" id="{18C5413C-FF9B-AFFB-CC6D-857A7471A228}"/>
                </a:ext>
                <a:ext uri="{147F2762-F138-4A5C-976F-8EAC2B608ADB}">
                  <a16:predDERef xmlns:a16="http://schemas.microsoft.com/office/drawing/2014/main" pred="{4619B2BD-ABD2-FD1F-E508-0EE6E34BEC4E}"/>
                </a:ext>
              </a:extLst>
            </xdr:cNvPr>
            <xdr:cNvGraphicFramePr/>
          </xdr:nvGraphicFramePr>
          <xdr:xfrm>
            <a:off x="0" y="0"/>
            <a:ext cx="0" cy="0"/>
          </xdr:xfrm>
          <a:graphic>
            <a:graphicData uri="http://schemas.microsoft.com/office/drawing/2010/slicer">
              <sle:slicer xmlns:sle="http://schemas.microsoft.com/office/drawing/2010/slicer" name="Sales 2"/>
            </a:graphicData>
          </a:graphic>
        </xdr:graphicFrame>
      </mc:Choice>
      <mc:Fallback xmlns="">
        <xdr:sp macro="" textlink="">
          <xdr:nvSpPr>
            <xdr:cNvPr id="0" name=""/>
            <xdr:cNvSpPr>
              <a:spLocks noTextEdit="1"/>
            </xdr:cNvSpPr>
          </xdr:nvSpPr>
          <xdr:spPr>
            <a:xfrm>
              <a:off x="12030075" y="24860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343647</xdr:colOff>
      <xdr:row>15</xdr:row>
      <xdr:rowOff>74706</xdr:rowOff>
    </xdr:from>
    <xdr:to>
      <xdr:col>8</xdr:col>
      <xdr:colOff>373528</xdr:colOff>
      <xdr:row>33</xdr:row>
      <xdr:rowOff>59765</xdr:rowOff>
    </xdr:to>
    <xdr:graphicFrame macro="">
      <xdr:nvGraphicFramePr>
        <xdr:cNvPr id="15" name="Chart 1">
          <a:extLst>
            <a:ext uri="{FF2B5EF4-FFF2-40B4-BE49-F238E27FC236}">
              <a16:creationId xmlns:a16="http://schemas.microsoft.com/office/drawing/2014/main" id="{CC363355-05AC-4691-BEA8-4416EDBA1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479313</xdr:colOff>
      <xdr:row>36</xdr:row>
      <xdr:rowOff>142241</xdr:rowOff>
    </xdr:from>
    <xdr:to>
      <xdr:col>17</xdr:col>
      <xdr:colOff>174513</xdr:colOff>
      <xdr:row>52</xdr:row>
      <xdr:rowOff>100105</xdr:rowOff>
    </xdr:to>
    <xdr:graphicFrame macro="">
      <xdr:nvGraphicFramePr>
        <xdr:cNvPr id="19" name="Chart 2">
          <a:extLst>
            <a:ext uri="{FF2B5EF4-FFF2-40B4-BE49-F238E27FC236}">
              <a16:creationId xmlns:a16="http://schemas.microsoft.com/office/drawing/2014/main" id="{D185596A-F205-4283-9089-51D582F32C1A}"/>
            </a:ext>
            <a:ext uri="{147F2762-F138-4A5C-976F-8EAC2B608ADB}">
              <a16:predDERef xmlns:a16="http://schemas.microsoft.com/office/drawing/2014/main" pred="{CC363355-05AC-4691-BEA8-4416EDBA1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342899</xdr:colOff>
      <xdr:row>15</xdr:row>
      <xdr:rowOff>29882</xdr:rowOff>
    </xdr:from>
    <xdr:to>
      <xdr:col>17</xdr:col>
      <xdr:colOff>38099</xdr:colOff>
      <xdr:row>33</xdr:row>
      <xdr:rowOff>59762</xdr:rowOff>
    </xdr:to>
    <xdr:graphicFrame macro="">
      <xdr:nvGraphicFramePr>
        <xdr:cNvPr id="17" name="Chart 3">
          <a:extLst>
            <a:ext uri="{FF2B5EF4-FFF2-40B4-BE49-F238E27FC236}">
              <a16:creationId xmlns:a16="http://schemas.microsoft.com/office/drawing/2014/main" id="{1117E80C-DC7B-49DD-B1BE-2BC8A6F52F6A}"/>
            </a:ext>
            <a:ext uri="{147F2762-F138-4A5C-976F-8EAC2B608ADB}">
              <a16:predDERef xmlns:a16="http://schemas.microsoft.com/office/drawing/2014/main" pred="{D185596A-F205-4283-9089-51D582F32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59764</xdr:colOff>
      <xdr:row>37</xdr:row>
      <xdr:rowOff>149411</xdr:rowOff>
    </xdr:from>
    <xdr:to>
      <xdr:col>8</xdr:col>
      <xdr:colOff>424327</xdr:colOff>
      <xdr:row>52</xdr:row>
      <xdr:rowOff>46317</xdr:rowOff>
    </xdr:to>
    <xdr:graphicFrame macro="">
      <xdr:nvGraphicFramePr>
        <xdr:cNvPr id="13" name="Chart 4">
          <a:extLst>
            <a:ext uri="{FF2B5EF4-FFF2-40B4-BE49-F238E27FC236}">
              <a16:creationId xmlns:a16="http://schemas.microsoft.com/office/drawing/2014/main" id="{2808884E-2EF4-41AE-8C21-614EFEF09FC1}"/>
            </a:ext>
            <a:ext uri="{147F2762-F138-4A5C-976F-8EAC2B608ADB}">
              <a16:predDERef xmlns:a16="http://schemas.microsoft.com/office/drawing/2014/main" pred="{1117E80C-DC7B-49DD-B1BE-2BC8A6F52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25999</xdr:colOff>
      <xdr:row>48</xdr:row>
      <xdr:rowOff>60363</xdr:rowOff>
    </xdr:from>
    <xdr:to>
      <xdr:col>22</xdr:col>
      <xdr:colOff>95646</xdr:colOff>
      <xdr:row>62</xdr:row>
      <xdr:rowOff>70245</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A5DE5036-92D2-8D46-CBA5-03C8B18A926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052587" y="8786010"/>
              <a:ext cx="252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584796</xdr:colOff>
      <xdr:row>0</xdr:row>
      <xdr:rowOff>187360</xdr:rowOff>
    </xdr:from>
    <xdr:to>
      <xdr:col>22</xdr:col>
      <xdr:colOff>41854</xdr:colOff>
      <xdr:row>11</xdr:row>
      <xdr:rowOff>32889</xdr:rowOff>
    </xdr:to>
    <mc:AlternateContent xmlns:mc="http://schemas.openxmlformats.org/markup-compatibility/2006" xmlns:a14="http://schemas.microsoft.com/office/drawing/2010/main">
      <mc:Choice Requires="a14">
        <xdr:graphicFrame macro="">
          <xdr:nvGraphicFramePr>
            <xdr:cNvPr id="8" name="Date 1">
              <a:extLst>
                <a:ext uri="{FF2B5EF4-FFF2-40B4-BE49-F238E27FC236}">
                  <a16:creationId xmlns:a16="http://schemas.microsoft.com/office/drawing/2014/main" id="{01F825E9-C167-0BEF-D3BE-8062A0748A9E}"/>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0998796" y="187360"/>
              <a:ext cx="252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565372</xdr:colOff>
      <xdr:row>32</xdr:row>
      <xdr:rowOff>52891</xdr:rowOff>
    </xdr:from>
    <xdr:to>
      <xdr:col>22</xdr:col>
      <xdr:colOff>22430</xdr:colOff>
      <xdr:row>46</xdr:row>
      <xdr:rowOff>62773</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799E1544-230B-3B12-9700-7AFEAAD60DA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979372" y="5909832"/>
              <a:ext cx="252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597497</xdr:colOff>
      <xdr:row>16</xdr:row>
      <xdr:rowOff>138803</xdr:rowOff>
    </xdr:from>
    <xdr:to>
      <xdr:col>22</xdr:col>
      <xdr:colOff>54555</xdr:colOff>
      <xdr:row>30</xdr:row>
      <xdr:rowOff>148685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D918F6BD-D907-16B2-E196-3F6B6DF537F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11497" y="3127038"/>
              <a:ext cx="252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313766</xdr:colOff>
      <xdr:row>60</xdr:row>
      <xdr:rowOff>14941</xdr:rowOff>
    </xdr:from>
    <xdr:to>
      <xdr:col>13</xdr:col>
      <xdr:colOff>597648</xdr:colOff>
      <xdr:row>75</xdr:row>
      <xdr:rowOff>68730</xdr:rowOff>
    </xdr:to>
    <xdr:graphicFrame macro="">
      <xdr:nvGraphicFramePr>
        <xdr:cNvPr id="3" name="Chart 2">
          <a:extLst>
            <a:ext uri="{FF2B5EF4-FFF2-40B4-BE49-F238E27FC236}">
              <a16:creationId xmlns:a16="http://schemas.microsoft.com/office/drawing/2014/main" id="{104681AC-A12D-49D0-888D-A8BD2F6B3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471695</xdr:colOff>
      <xdr:row>21</xdr:row>
      <xdr:rowOff>36603</xdr:rowOff>
    </xdr:from>
    <xdr:to>
      <xdr:col>27</xdr:col>
      <xdr:colOff>541342</xdr:colOff>
      <xdr:row>35</xdr:row>
      <xdr:rowOff>46486</xdr:rowOff>
    </xdr:to>
    <mc:AlternateContent xmlns:mc="http://schemas.openxmlformats.org/markup-compatibility/2006" xmlns:a14="http://schemas.microsoft.com/office/drawing/2010/main">
      <mc:Choice Requires="a14">
        <xdr:graphicFrame macro="">
          <xdr:nvGraphicFramePr>
            <xdr:cNvPr id="4" name="Sales">
              <a:extLst>
                <a:ext uri="{FF2B5EF4-FFF2-40B4-BE49-F238E27FC236}">
                  <a16:creationId xmlns:a16="http://schemas.microsoft.com/office/drawing/2014/main" id="{13465615-F60E-938F-A560-BD8E692F33EE}"/>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4561224" y="4279897"/>
              <a:ext cx="252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323850</xdr:colOff>
      <xdr:row>9</xdr:row>
      <xdr:rowOff>161925</xdr:rowOff>
    </xdr:from>
    <xdr:to>
      <xdr:col>19</xdr:col>
      <xdr:colOff>323850</xdr:colOff>
      <xdr:row>23</xdr:row>
      <xdr:rowOff>133350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D968137A-3DBC-31D1-986A-38389FB1D583}"/>
                </a:ext>
                <a:ext uri="{147F2762-F138-4A5C-976F-8EAC2B608ADB}">
                  <a16:predDERef xmlns:a16="http://schemas.microsoft.com/office/drawing/2014/main" pred="{A7550A24-6B10-1E60-A721-46B1D03378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20350" y="18764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20</xdr:col>
      <xdr:colOff>457200</xdr:colOff>
      <xdr:row>12</xdr:row>
      <xdr:rowOff>28575</xdr:rowOff>
    </xdr:from>
    <xdr:to>
      <xdr:col>23</xdr:col>
      <xdr:colOff>457200</xdr:colOff>
      <xdr:row>26</xdr:row>
      <xdr:rowOff>0</xdr:rowOff>
    </xdr:to>
    <mc:AlternateContent xmlns:mc="http://schemas.openxmlformats.org/markup-compatibility/2006" xmlns:a14="http://schemas.microsoft.com/office/drawing/2010/main">
      <mc:Choice Requires="a14">
        <xdr:graphicFrame macro="">
          <xdr:nvGraphicFramePr>
            <xdr:cNvPr id="4" name="Profit">
              <a:extLst>
                <a:ext uri="{FF2B5EF4-FFF2-40B4-BE49-F238E27FC236}">
                  <a16:creationId xmlns:a16="http://schemas.microsoft.com/office/drawing/2014/main" id="{90838E29-9FB0-7598-5869-FA5A9E68EF00}"/>
                </a:ext>
                <a:ext uri="{147F2762-F138-4A5C-976F-8EAC2B608ADB}">
                  <a16:predDERef xmlns:a16="http://schemas.microsoft.com/office/drawing/2014/main" pred="{D968137A-3DBC-31D1-986A-38389FB1D583}"/>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2992100" y="23145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0</xdr:colOff>
      <xdr:row>10</xdr:row>
      <xdr:rowOff>95250</xdr:rowOff>
    </xdr:from>
    <xdr:to>
      <xdr:col>18</xdr:col>
      <xdr:colOff>0</xdr:colOff>
      <xdr:row>24</xdr:row>
      <xdr:rowOff>66675</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22D5E121-2580-3AAE-A3C0-6304ED74EA78}"/>
                </a:ext>
                <a:ext uri="{147F2762-F138-4A5C-976F-8EAC2B608ADB}">
                  <a16:predDERef xmlns:a16="http://schemas.microsoft.com/office/drawing/2014/main" pred="{3309767F-C1A7-4AA9-2E7D-2651FA12854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9458325" y="20002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18</xdr:col>
      <xdr:colOff>285750</xdr:colOff>
      <xdr:row>9</xdr:row>
      <xdr:rowOff>104775</xdr:rowOff>
    </xdr:from>
    <xdr:to>
      <xdr:col>21</xdr:col>
      <xdr:colOff>285750</xdr:colOff>
      <xdr:row>23</xdr:row>
      <xdr:rowOff>76200</xdr:rowOff>
    </xdr:to>
    <mc:AlternateContent xmlns:mc="http://schemas.openxmlformats.org/markup-compatibility/2006" xmlns:a14="http://schemas.microsoft.com/office/drawing/2010/main">
      <mc:Choice Requires="a14">
        <xdr:graphicFrame macro="">
          <xdr:nvGraphicFramePr>
            <xdr:cNvPr id="4" name="Sales 1">
              <a:extLst>
                <a:ext uri="{FF2B5EF4-FFF2-40B4-BE49-F238E27FC236}">
                  <a16:creationId xmlns:a16="http://schemas.microsoft.com/office/drawing/2014/main" id="{B6BD2905-CDCD-EBFD-1ACD-FFB76F691722}"/>
                </a:ext>
                <a:ext uri="{147F2762-F138-4A5C-976F-8EAC2B608ADB}">
                  <a16:predDERef xmlns:a16="http://schemas.microsoft.com/office/drawing/2014/main" pred="{22D5E121-2580-3AAE-A3C0-6304ED74EA78}"/>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11572875" y="18192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5.666030787041" createdVersion="8" refreshedVersion="8" minRefreshableVersion="3" recordCount="20" xr:uid="{C54F6000-1E6E-4648-B2DA-F52AE69B1919}">
  <cacheSource type="worksheet">
    <worksheetSource name="Table3"/>
  </cacheSource>
  <cacheFields count="8">
    <cacheField name="Order ID" numFmtId="0">
      <sharedItems containsSemiMixedTypes="0" containsString="0" containsNumber="1" containsInteger="1" minValue="1001" maxValue="1020"/>
    </cacheField>
    <cacheField name="Date" numFmtId="0">
      <sharedItems containsDate="1" containsMixedTypes="1" minDate="2026-01-01T00:00:00" maxDate="2026-12-03T00:00:00" count="20">
        <d v="2026-01-01T00:00:00"/>
        <d v="2026-03-01T00:00:00"/>
        <d v="2026-05-01T00:00:00"/>
        <d v="2026-08-01T00:00:00"/>
        <d v="2026-10-01T00:00:00"/>
        <d v="2026-12-01T00:00:00"/>
        <s v="15-01-2026"/>
        <s v="18-01-2026"/>
        <s v="20-01-2026"/>
        <s v="22-01-2026"/>
        <s v="25-01-2026"/>
        <s v="28-01-2026"/>
        <d v="2026-01-02T00:00:00"/>
        <d v="2026-05-02T00:00:00"/>
        <d v="2026-08-02T00:00:00"/>
        <d v="2026-12-02T00:00:00"/>
        <s v="15-02-2026"/>
        <s v="18-02-2026"/>
        <s v="22-02-2026"/>
        <s v="25-02-2026"/>
      </sharedItems>
    </cacheField>
    <cacheField name="Region" numFmtId="0">
      <sharedItems count="4">
        <s v="South"/>
        <s v="North"/>
        <s v="East"/>
        <s v="West"/>
      </sharedItems>
    </cacheField>
    <cacheField name="Product" numFmtId="0">
      <sharedItems count="6">
        <s v="Laptop"/>
        <s v="Mobile"/>
        <s v="Chair"/>
        <s v="Table"/>
        <s v="Printer"/>
        <s v="Sofa"/>
      </sharedItems>
    </cacheField>
    <cacheField name="Category" numFmtId="0">
      <sharedItems count="2">
        <s v="Electronics"/>
        <s v="Furniture"/>
      </sharedItems>
    </cacheField>
    <cacheField name="Sales" numFmtId="0">
      <sharedItems containsSemiMixedTypes="0" containsString="0" containsNumber="1" containsInteger="1" minValue="12000" maxValue="58000" count="20">
        <n v="50000"/>
        <n v="25000"/>
        <n v="12000"/>
        <n v="18000"/>
        <n v="15000"/>
        <n v="30000"/>
        <n v="22000"/>
        <n v="55000"/>
        <n v="14000"/>
        <n v="16000"/>
        <n v="19000"/>
        <n v="28000"/>
        <n v="32000"/>
        <n v="52000"/>
        <n v="17000"/>
        <n v="13000"/>
        <n v="26000"/>
        <n v="20000"/>
        <n v="58000"/>
        <n v="34000"/>
      </sharedItems>
    </cacheField>
    <cacheField name="Profit" numFmtId="0">
      <sharedItems containsSemiMixedTypes="0" containsString="0" containsNumber="1" containsInteger="1" minValue="2000" maxValue="9500" count="18">
        <n v="8000"/>
        <n v="4000"/>
        <n v="2500"/>
        <n v="3000"/>
        <n v="2000"/>
        <n v="5000"/>
        <n v="3500"/>
        <n v="9000"/>
        <n v="2800"/>
        <n v="3200"/>
        <n v="4500"/>
        <n v="5500"/>
        <n v="8500"/>
        <n v="2700"/>
        <n v="2400"/>
        <n v="4200"/>
        <n v="9500"/>
        <n v="6000"/>
      </sharedItems>
    </cacheField>
    <cacheField name="Quantity"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494138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x v="0"/>
    <x v="0"/>
    <x v="0"/>
    <x v="0"/>
    <x v="0"/>
    <x v="0"/>
    <n v="2"/>
  </r>
  <r>
    <n v="1002"/>
    <x v="1"/>
    <x v="1"/>
    <x v="1"/>
    <x v="0"/>
    <x v="1"/>
    <x v="1"/>
    <n v="3"/>
  </r>
  <r>
    <n v="1003"/>
    <x v="2"/>
    <x v="2"/>
    <x v="2"/>
    <x v="1"/>
    <x v="2"/>
    <x v="2"/>
    <n v="4"/>
  </r>
  <r>
    <n v="1004"/>
    <x v="3"/>
    <x v="3"/>
    <x v="3"/>
    <x v="1"/>
    <x v="3"/>
    <x v="3"/>
    <n v="2"/>
  </r>
  <r>
    <n v="1005"/>
    <x v="4"/>
    <x v="0"/>
    <x v="4"/>
    <x v="0"/>
    <x v="4"/>
    <x v="4"/>
    <n v="2"/>
  </r>
  <r>
    <n v="1006"/>
    <x v="5"/>
    <x v="1"/>
    <x v="5"/>
    <x v="1"/>
    <x v="5"/>
    <x v="5"/>
    <n v="1"/>
  </r>
  <r>
    <n v="1007"/>
    <x v="6"/>
    <x v="2"/>
    <x v="1"/>
    <x v="0"/>
    <x v="6"/>
    <x v="6"/>
    <n v="2"/>
  </r>
  <r>
    <n v="1008"/>
    <x v="7"/>
    <x v="3"/>
    <x v="0"/>
    <x v="0"/>
    <x v="7"/>
    <x v="7"/>
    <n v="2"/>
  </r>
  <r>
    <n v="1009"/>
    <x v="8"/>
    <x v="0"/>
    <x v="2"/>
    <x v="1"/>
    <x v="8"/>
    <x v="8"/>
    <n v="5"/>
  </r>
  <r>
    <n v="1010"/>
    <x v="9"/>
    <x v="1"/>
    <x v="4"/>
    <x v="0"/>
    <x v="9"/>
    <x v="2"/>
    <n v="2"/>
  </r>
  <r>
    <n v="1011"/>
    <x v="10"/>
    <x v="2"/>
    <x v="3"/>
    <x v="1"/>
    <x v="10"/>
    <x v="9"/>
    <n v="2"/>
  </r>
  <r>
    <n v="1012"/>
    <x v="11"/>
    <x v="3"/>
    <x v="1"/>
    <x v="0"/>
    <x v="11"/>
    <x v="10"/>
    <n v="3"/>
  </r>
  <r>
    <n v="1013"/>
    <x v="12"/>
    <x v="0"/>
    <x v="5"/>
    <x v="1"/>
    <x v="12"/>
    <x v="11"/>
    <n v="1"/>
  </r>
  <r>
    <n v="1014"/>
    <x v="13"/>
    <x v="1"/>
    <x v="0"/>
    <x v="0"/>
    <x v="13"/>
    <x v="12"/>
    <n v="2"/>
  </r>
  <r>
    <n v="1015"/>
    <x v="14"/>
    <x v="2"/>
    <x v="4"/>
    <x v="0"/>
    <x v="14"/>
    <x v="13"/>
    <n v="2"/>
  </r>
  <r>
    <n v="1016"/>
    <x v="15"/>
    <x v="3"/>
    <x v="2"/>
    <x v="1"/>
    <x v="15"/>
    <x v="14"/>
    <n v="4"/>
  </r>
  <r>
    <n v="1017"/>
    <x v="16"/>
    <x v="0"/>
    <x v="1"/>
    <x v="0"/>
    <x v="16"/>
    <x v="15"/>
    <n v="3"/>
  </r>
  <r>
    <n v="1018"/>
    <x v="17"/>
    <x v="1"/>
    <x v="3"/>
    <x v="1"/>
    <x v="17"/>
    <x v="6"/>
    <n v="2"/>
  </r>
  <r>
    <n v="1019"/>
    <x v="18"/>
    <x v="2"/>
    <x v="0"/>
    <x v="0"/>
    <x v="18"/>
    <x v="16"/>
    <n v="2"/>
  </r>
  <r>
    <n v="1020"/>
    <x v="19"/>
    <x v="3"/>
    <x v="5"/>
    <x v="1"/>
    <x v="19"/>
    <x v="17"/>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2D751F-B52C-4778-8CD2-E3724AC02BA5}"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8" firstHeaderRow="1" firstDataRow="1" firstDataCol="1"/>
  <pivotFields count="8">
    <pivotField compact="0" outline="0" showAll="0"/>
    <pivotField compact="0" outline="0" showAll="0">
      <items count="21">
        <item x="6"/>
        <item x="16"/>
        <item x="7"/>
        <item x="17"/>
        <item x="8"/>
        <item x="9"/>
        <item x="18"/>
        <item x="10"/>
        <item x="19"/>
        <item x="11"/>
        <item x="0"/>
        <item x="12"/>
        <item x="1"/>
        <item x="2"/>
        <item x="13"/>
        <item x="3"/>
        <item x="14"/>
        <item x="4"/>
        <item x="5"/>
        <item x="15"/>
        <item t="default"/>
      </items>
    </pivotField>
    <pivotField axis="axisRow" compact="0" outline="0" showAll="0">
      <items count="5">
        <item x="2"/>
        <item x="1"/>
        <item x="0"/>
        <item x="3"/>
        <item t="default"/>
      </items>
    </pivotField>
    <pivotField compact="0" outline="0" showAll="0"/>
    <pivotField compact="0" outline="0" showAll="0"/>
    <pivotField dataField="1" compact="0" outline="0" showAll="0">
      <items count="21">
        <item x="2"/>
        <item x="15"/>
        <item x="8"/>
        <item x="4"/>
        <item x="9"/>
        <item x="14"/>
        <item x="3"/>
        <item x="10"/>
        <item x="17"/>
        <item x="6"/>
        <item x="1"/>
        <item x="16"/>
        <item x="11"/>
        <item x="5"/>
        <item x="12"/>
        <item x="19"/>
        <item x="0"/>
        <item x="13"/>
        <item x="7"/>
        <item x="18"/>
        <item t="default"/>
      </items>
    </pivotField>
    <pivotField compact="0" outline="0" showAll="0"/>
    <pivotField compact="0" outline="0" showAll="0"/>
  </pivotFields>
  <rowFields count="1">
    <field x="2"/>
  </rowFields>
  <rowItems count="5">
    <i>
      <x/>
    </i>
    <i>
      <x v="1"/>
    </i>
    <i>
      <x v="2"/>
    </i>
    <i>
      <x v="3"/>
    </i>
    <i t="grand">
      <x/>
    </i>
  </rowItems>
  <colItems count="1">
    <i/>
  </colItems>
  <dataFields count="1">
    <dataField name="Sum of Sales" fld="5"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BE1D95-E0D8-4ED5-A51A-894088349197}"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8" firstHeaderRow="1" firstDataRow="1" firstDataCol="1"/>
  <pivotFields count="8">
    <pivotField compact="0" outline="0" showAll="0"/>
    <pivotField compact="0" outline="0" showAll="0">
      <items count="21">
        <item x="6"/>
        <item x="16"/>
        <item x="7"/>
        <item x="17"/>
        <item x="8"/>
        <item x="9"/>
        <item x="18"/>
        <item x="10"/>
        <item x="19"/>
        <item x="11"/>
        <item x="0"/>
        <item x="12"/>
        <item x="1"/>
        <item x="2"/>
        <item x="13"/>
        <item x="3"/>
        <item x="14"/>
        <item x="4"/>
        <item x="5"/>
        <item x="15"/>
        <item t="default"/>
      </items>
    </pivotField>
    <pivotField axis="axisRow" compact="0" outline="0" showAll="0">
      <items count="5">
        <item x="2"/>
        <item x="1"/>
        <item x="0"/>
        <item x="3"/>
        <item t="default"/>
      </items>
    </pivotField>
    <pivotField compact="0" outline="0" showAll="0">
      <items count="7">
        <item x="2"/>
        <item x="0"/>
        <item x="1"/>
        <item x="4"/>
        <item x="5"/>
        <item x="3"/>
        <item t="default"/>
      </items>
    </pivotField>
    <pivotField compact="0" outline="0" showAll="0"/>
    <pivotField compact="0" outline="0" showAll="0">
      <items count="21">
        <item x="2"/>
        <item x="15"/>
        <item x="8"/>
        <item x="4"/>
        <item x="9"/>
        <item x="14"/>
        <item x="3"/>
        <item x="10"/>
        <item x="17"/>
        <item x="6"/>
        <item x="1"/>
        <item x="16"/>
        <item x="11"/>
        <item x="5"/>
        <item x="12"/>
        <item x="19"/>
        <item x="0"/>
        <item x="13"/>
        <item x="7"/>
        <item x="18"/>
        <item t="default"/>
      </items>
    </pivotField>
    <pivotField dataField="1" compact="0" outline="0" showAll="0">
      <items count="19">
        <item x="4"/>
        <item x="14"/>
        <item x="2"/>
        <item x="13"/>
        <item x="8"/>
        <item x="3"/>
        <item x="9"/>
        <item x="6"/>
        <item x="1"/>
        <item x="15"/>
        <item x="10"/>
        <item x="5"/>
        <item x="11"/>
        <item x="17"/>
        <item x="0"/>
        <item x="12"/>
        <item x="7"/>
        <item x="16"/>
        <item t="default"/>
      </items>
    </pivotField>
    <pivotField compact="0" outline="0" showAll="0"/>
  </pivotFields>
  <rowFields count="1">
    <field x="2"/>
  </rowFields>
  <rowItems count="5">
    <i>
      <x/>
    </i>
    <i>
      <x v="1"/>
    </i>
    <i>
      <x v="2"/>
    </i>
    <i>
      <x v="3"/>
    </i>
    <i t="grand">
      <x/>
    </i>
  </rowItems>
  <colItems count="1">
    <i/>
  </colItems>
  <dataFields count="1">
    <dataField name="Sum of Profit" fld="6"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299C1F-AD9B-4FC1-8199-452D176D6F1A}"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6" firstHeaderRow="1" firstDataRow="1" firstDataCol="1"/>
  <pivotFields count="8">
    <pivotField compact="0" outline="0" showAll="0"/>
    <pivotField compact="0" outline="0" showAll="0">
      <items count="21">
        <item x="6"/>
        <item x="16"/>
        <item x="7"/>
        <item x="17"/>
        <item x="8"/>
        <item x="9"/>
        <item x="18"/>
        <item x="10"/>
        <item x="19"/>
        <item x="11"/>
        <item x="0"/>
        <item x="12"/>
        <item x="1"/>
        <item x="2"/>
        <item x="13"/>
        <item x="3"/>
        <item x="14"/>
        <item x="4"/>
        <item x="5"/>
        <item x="15"/>
        <item t="default"/>
      </items>
    </pivotField>
    <pivotField compact="0" outline="0" showAll="0"/>
    <pivotField compact="0" outline="0" showAll="0"/>
    <pivotField axis="axisRow" compact="0" outline="0" showAll="0">
      <items count="3">
        <item x="0"/>
        <item x="1"/>
        <item t="default"/>
      </items>
    </pivotField>
    <pivotField dataField="1" compact="0" outline="0" showAll="0">
      <items count="21">
        <item x="2"/>
        <item x="15"/>
        <item x="8"/>
        <item x="4"/>
        <item x="9"/>
        <item x="14"/>
        <item x="3"/>
        <item x="10"/>
        <item x="17"/>
        <item x="6"/>
        <item x="1"/>
        <item x="16"/>
        <item x="11"/>
        <item x="5"/>
        <item x="12"/>
        <item x="19"/>
        <item x="0"/>
        <item x="13"/>
        <item x="7"/>
        <item x="18"/>
        <item t="default"/>
      </items>
    </pivotField>
    <pivotField compact="0" outline="0" showAll="0"/>
    <pivotField compact="0" outline="0" showAll="0"/>
  </pivotFields>
  <rowFields count="1">
    <field x="4"/>
  </rowFields>
  <rowItems count="3">
    <i>
      <x/>
    </i>
    <i>
      <x v="1"/>
    </i>
    <i t="grand">
      <x/>
    </i>
  </rowItems>
  <colItems count="1">
    <i/>
  </colItems>
  <dataFields count="1">
    <dataField name="Sum of Sales" fld="5" baseField="0" baseItem="0"/>
  </dataFields>
  <chartFormats count="3">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4" count="1" selected="0">
            <x v="0"/>
          </reference>
        </references>
      </pivotArea>
    </chartFormat>
    <chartFormat chart="2" format="11">
      <pivotArea type="data" outline="0" fieldPosition="0">
        <references count="2">
          <reference field="4294967294" count="1" selected="0">
            <x v="0"/>
          </reference>
          <reference field="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B0BAE9-7885-461D-A418-EBF60D2B8875}"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3:B24" firstHeaderRow="1" firstDataRow="1" firstDataCol="1"/>
  <pivotFields count="8">
    <pivotField compact="0" outline="0" showAll="0"/>
    <pivotField axis="axisRow" compact="0" outline="0" showAll="0">
      <items count="21">
        <item x="6"/>
        <item x="16"/>
        <item x="7"/>
        <item x="17"/>
        <item x="8"/>
        <item x="9"/>
        <item x="18"/>
        <item x="10"/>
        <item x="19"/>
        <item x="11"/>
        <item x="0"/>
        <item x="12"/>
        <item x="1"/>
        <item x="2"/>
        <item x="13"/>
        <item x="3"/>
        <item x="14"/>
        <item x="4"/>
        <item x="5"/>
        <item x="15"/>
        <item t="default"/>
      </items>
    </pivotField>
    <pivotField compact="0" outline="0" showAll="0"/>
    <pivotField compact="0" outline="0" showAll="0"/>
    <pivotField compact="0" outline="0" showAll="0"/>
    <pivotField dataField="1" compact="0" outline="0" showAll="0">
      <items count="21">
        <item x="2"/>
        <item x="15"/>
        <item x="8"/>
        <item x="4"/>
        <item x="9"/>
        <item x="14"/>
        <item x="3"/>
        <item x="10"/>
        <item x="17"/>
        <item x="6"/>
        <item x="1"/>
        <item x="16"/>
        <item x="11"/>
        <item x="5"/>
        <item x="12"/>
        <item x="19"/>
        <item x="0"/>
        <item x="13"/>
        <item x="7"/>
        <item x="18"/>
        <item t="default"/>
      </items>
    </pivotField>
    <pivotField compact="0" outline="0" showAll="0"/>
    <pivotField compact="0" outline="0"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5" baseField="0" baseItem="0"/>
  </dataFields>
  <chartFormats count="2">
    <chartFormat chart="9"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9B667B-BB80-4AF8-8836-C752DED94F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8">
    <pivotField showAll="0"/>
    <pivotField showAll="0"/>
    <pivotField showAll="0"/>
    <pivotField axis="axisRow" showAll="0">
      <items count="7">
        <item x="2"/>
        <item x="0"/>
        <item x="1"/>
        <item x="4"/>
        <item x="5"/>
        <item x="3"/>
        <item t="default"/>
      </items>
    </pivotField>
    <pivotField showAll="0"/>
    <pivotField dataField="1" showAll="0">
      <items count="21">
        <item x="2"/>
        <item x="15"/>
        <item x="8"/>
        <item x="4"/>
        <item x="9"/>
        <item x="14"/>
        <item x="3"/>
        <item x="10"/>
        <item x="17"/>
        <item x="6"/>
        <item x="1"/>
        <item x="16"/>
        <item x="11"/>
        <item x="5"/>
        <item x="12"/>
        <item x="19"/>
        <item x="0"/>
        <item x="13"/>
        <item x="7"/>
        <item x="18"/>
        <item t="default"/>
      </items>
    </pivotField>
    <pivotField showAll="0"/>
    <pivotField showAll="0"/>
  </pivotFields>
  <rowFields count="1">
    <field x="3"/>
  </rowFields>
  <rowItems count="7">
    <i>
      <x/>
    </i>
    <i>
      <x v="1"/>
    </i>
    <i>
      <x v="2"/>
    </i>
    <i>
      <x v="3"/>
    </i>
    <i>
      <x v="4"/>
    </i>
    <i>
      <x v="5"/>
    </i>
    <i t="grand">
      <x/>
    </i>
  </rowItems>
  <colItems count="1">
    <i/>
  </colItems>
  <dataFields count="1">
    <dataField name="Sum of Sales" fld="5"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 chart="3" format="12">
      <pivotArea type="data" outline="0" fieldPosition="0">
        <references count="2">
          <reference field="4294967294" count="1" selected="0">
            <x v="0"/>
          </reference>
          <reference field="3" count="1" selected="0">
            <x v="3"/>
          </reference>
        </references>
      </pivotArea>
    </chartFormat>
    <chartFormat chart="3" format="13">
      <pivotArea type="data" outline="0" fieldPosition="0">
        <references count="2">
          <reference field="4294967294" count="1" selected="0">
            <x v="0"/>
          </reference>
          <reference field="3" count="1" selected="0">
            <x v="4"/>
          </reference>
        </references>
      </pivotArea>
    </chartFormat>
    <chartFormat chart="3" format="14">
      <pivotArea type="data" outline="0" fieldPosition="0">
        <references count="2">
          <reference field="4294967294" count="1" selected="0">
            <x v="0"/>
          </reference>
          <reference field="3"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6BBA1F1-E79B-4B9E-9EA1-2C76CADF4658}" sourceName="Date">
  <pivotTables>
    <pivotTable tabId="5" name="PivotTable5"/>
    <pivotTable tabId="2" name="PivotTable2"/>
    <pivotTable tabId="3" name="PivotTable3"/>
    <pivotTable tabId="4" name="PivotTable4"/>
  </pivotTables>
  <data>
    <tabular pivotCacheId="1494138984">
      <items count="20">
        <i x="6" s="1"/>
        <i x="16" s="1"/>
        <i x="7" s="1"/>
        <i x="17" s="1"/>
        <i x="8" s="1"/>
        <i x="9" s="1"/>
        <i x="18" s="1"/>
        <i x="10" s="1"/>
        <i x="19" s="1"/>
        <i x="11" s="1"/>
        <i x="0" s="1"/>
        <i x="12" s="1"/>
        <i x="1" s="1"/>
        <i x="2" s="1"/>
        <i x="13" s="1"/>
        <i x="3" s="1"/>
        <i x="14" s="1"/>
        <i x="4" s="1"/>
        <i x="5"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0F2F6F-22CA-4F71-8C3E-B0752523EAEF}" sourceName="Region">
  <pivotTables>
    <pivotTable tabId="3" name="PivotTable3"/>
  </pivotTables>
  <data>
    <tabular pivotCacheId="1494138984">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10FABEFE-8CCC-482C-AA48-02A7C7F5A2BE}" sourceName="Profit">
  <pivotTables>
    <pivotTable tabId="3" name="PivotTable3"/>
  </pivotTables>
  <data>
    <tabular pivotCacheId="1494138984">
      <items count="18">
        <i x="4" s="1"/>
        <i x="14" s="1"/>
        <i x="2" s="1"/>
        <i x="13" s="1"/>
        <i x="8" s="1"/>
        <i x="3" s="1"/>
        <i x="9" s="1"/>
        <i x="6" s="1"/>
        <i x="1" s="1"/>
        <i x="15" s="1"/>
        <i x="10" s="1"/>
        <i x="5" s="1"/>
        <i x="11" s="1"/>
        <i x="17" s="1"/>
        <i x="0" s="1"/>
        <i x="12" s="1"/>
        <i x="7" s="1"/>
        <i x="1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1210E76-EC11-497E-8AB6-8C4804D137C6}" sourceName="Region">
  <pivotTables>
    <pivotTable tabId="2" name="PivotTable2"/>
  </pivotTables>
  <data>
    <tabular pivotCacheId="1494138984">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C759A11-13E8-4280-9082-10A5CCFA56B8}" sourceName="Category">
  <pivotTables>
    <pivotTable tabId="4" name="PivotTable4"/>
  </pivotTables>
  <data>
    <tabular pivotCacheId="1494138984">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E4E8B610-D11B-4CDF-9754-FC6C364149D5}" sourceName="Product">
  <pivotTables>
    <pivotTable tabId="3" name="PivotTable3"/>
  </pivotTables>
  <data>
    <tabular pivotCacheId="1494138984">
      <items count="6">
        <i x="2" s="1"/>
        <i x="0" s="1"/>
        <i x="1" s="1"/>
        <i x="4" s="1"/>
        <i x="5"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9D9CBC93-CCDC-423B-B198-8E7A5775C492}" sourceName="Sales">
  <pivotTables>
    <pivotTable tabId="12" name="PivotTable2"/>
    <pivotTable tabId="2" name="PivotTable2"/>
    <pivotTable tabId="3" name="PivotTable3"/>
    <pivotTable tabId="4" name="PivotTable4"/>
    <pivotTable tabId="5" name="PivotTable5"/>
  </pivotTables>
  <data>
    <tabular pivotCacheId="1494138984">
      <items count="20">
        <i x="2" s="1"/>
        <i x="15" s="1"/>
        <i x="8" s="1"/>
        <i x="4" s="1"/>
        <i x="9" s="1"/>
        <i x="14" s="1"/>
        <i x="3" s="1"/>
        <i x="10" s="1"/>
        <i x="17" s="1"/>
        <i x="6" s="1"/>
        <i x="1" s="1"/>
        <i x="16" s="1"/>
        <i x="11" s="1"/>
        <i x="5" s="1"/>
        <i x="12" s="1"/>
        <i x="19" s="1"/>
        <i x="0" s="1"/>
        <i x="13" s="1"/>
        <i x="7"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A42706B-9F79-4301-9120-182954A68860}" cache="Slicer_Region1" caption="Region" rowHeight="228600"/>
  <slicer name="Sales 2" xr10:uid="{23B7D5E9-1B2D-42E7-BA55-F0F0A00110BF}" cache="Slicer_Sales" caption="Sales"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45C9BB9C-7677-4220-B7F7-CC7475E37468}" cache="Slicer_Date" caption="Date" rowHeight="247650"/>
  <slicer name="Region 2" xr10:uid="{0BE503C9-E345-4090-969D-699E08175557}" cache="Slicer_Region1" caption="Region" style="SlicerStyleLight5" rowHeight="247650"/>
  <slicer name="Category" xr10:uid="{8A63BE0D-A44B-4FAD-BABE-3D2FC0245708}" cache="Slicer_Category" caption="Category" style="SlicerStyleLight3" rowHeight="247650"/>
  <slicer name="Product 1" xr10:uid="{9B052A65-C55D-4CBC-893B-E3EE00FE607C}" cache="Slicer_Product1" caption="Product" rowHeight="247650"/>
  <slicer name="Sales" xr10:uid="{B08905E9-02F7-4D32-9761-EE0ECECFED3D}" cache="Slicer_Sales" caption="Sales" startItem="1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A0CD696-8C55-40BA-8A85-FA3E7A510B05}" cache="Slicer_Region" caption="Region" rowHeight="228600"/>
  <slicer name="Profit" xr10:uid="{1123626C-5F78-428F-8293-321C3DA88F1A}" cache="Slicer_Profit" caption="Profit" rowHeight="2286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BA98B9D0-4E8F-43FE-8978-C46FA23EA7C6}" cache="Slicer_Date" caption="Date" rowHeight="228600"/>
  <slicer name="Sales 1" xr10:uid="{2B201D21-0EF9-42B3-95C4-8DA0772D1588}" cache="Slicer_Sales" caption="Sales"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D9161-81C5-4952-82D8-23ADC5569F7F}" name="Table3" displayName="Table3" ref="A1:H21" totalsRowShown="0" headerRowDxfId="0">
  <autoFilter ref="A1:H21" xr:uid="{6BBD9161-81C5-4952-82D8-23ADC5569F7F}"/>
  <tableColumns count="8">
    <tableColumn id="1" xr3:uid="{C9DAA3E5-F0F3-4A13-8528-C1407F966299}" name="Order ID"/>
    <tableColumn id="2" xr3:uid="{B6078A71-F971-4611-BC74-613F6AF294A8}" name="Date"/>
    <tableColumn id="3" xr3:uid="{588D0FA0-334F-451F-9F7E-50D0B287DD9A}" name="Region"/>
    <tableColumn id="4" xr3:uid="{5D26E03C-3EAF-4EB5-A3BA-6A270FBC7808}" name="Product"/>
    <tableColumn id="5" xr3:uid="{26AC4CB4-C16E-4C84-8601-C11312E93350}" name="Category"/>
    <tableColumn id="6" xr3:uid="{56D2D178-7692-44FB-9486-DD69046BB7FE}" name="Sales"/>
    <tableColumn id="7" xr3:uid="{434A000E-185C-44D8-AE41-CC9F0895A230}" name="Profit"/>
    <tableColumn id="8" xr3:uid="{05CD1C82-3EF6-4D4A-9D83-4D5350E7A31B}" name="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39CAF-91A6-4C8B-82B4-AB8B8D57187E}">
  <dimension ref="A3:B8"/>
  <sheetViews>
    <sheetView workbookViewId="0">
      <selection activeCell="B9" sqref="B9"/>
    </sheetView>
  </sheetViews>
  <sheetFormatPr defaultRowHeight="14.4" x14ac:dyDescent="0.3"/>
  <cols>
    <col min="1" max="1" width="10.5546875" bestFit="1" customWidth="1"/>
    <col min="2" max="2" width="11.5546875" bestFit="1" customWidth="1"/>
  </cols>
  <sheetData>
    <row r="3" spans="1:2" x14ac:dyDescent="0.3">
      <c r="A3" s="3" t="s">
        <v>0</v>
      </c>
      <c r="B3" t="s">
        <v>1</v>
      </c>
    </row>
    <row r="4" spans="1:2" x14ac:dyDescent="0.3">
      <c r="A4" t="s">
        <v>2</v>
      </c>
      <c r="B4">
        <v>128000</v>
      </c>
    </row>
    <row r="5" spans="1:2" x14ac:dyDescent="0.3">
      <c r="A5" t="s">
        <v>3</v>
      </c>
      <c r="B5">
        <v>143000</v>
      </c>
    </row>
    <row r="6" spans="1:2" x14ac:dyDescent="0.3">
      <c r="A6" t="s">
        <v>4</v>
      </c>
      <c r="B6">
        <v>137000</v>
      </c>
    </row>
    <row r="7" spans="1:2" x14ac:dyDescent="0.3">
      <c r="A7" t="s">
        <v>5</v>
      </c>
      <c r="B7">
        <v>148000</v>
      </c>
    </row>
    <row r="8" spans="1:2" x14ac:dyDescent="0.3">
      <c r="A8" t="s">
        <v>6</v>
      </c>
      <c r="B8">
        <v>556000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0FBE2-6EF3-405E-B91C-BFEA9A832B3A}">
  <dimension ref="A1:AI13"/>
  <sheetViews>
    <sheetView tabSelected="1" topLeftCell="A5" zoomScale="51" workbookViewId="0">
      <selection activeCell="P70" sqref="P70"/>
    </sheetView>
  </sheetViews>
  <sheetFormatPr defaultRowHeight="14.4" x14ac:dyDescent="0.3"/>
  <cols>
    <col min="7" max="7" width="15.109375" bestFit="1" customWidth="1"/>
    <col min="9" max="9" width="10.5546875" bestFit="1" customWidth="1"/>
    <col min="10" max="10" width="12.77734375" bestFit="1" customWidth="1"/>
    <col min="28" max="29" width="15.109375" bestFit="1" customWidth="1"/>
    <col min="33" max="33" width="10.5546875" bestFit="1" customWidth="1"/>
  </cols>
  <sheetData>
    <row r="1" spans="1:35" ht="33.6" x14ac:dyDescent="0.65">
      <c r="A1" s="13"/>
      <c r="B1" s="13"/>
      <c r="C1" s="13"/>
      <c r="D1" s="13"/>
      <c r="E1" s="13"/>
      <c r="F1" s="13"/>
      <c r="G1" s="13"/>
      <c r="H1" s="17" t="s">
        <v>36</v>
      </c>
      <c r="I1" s="17"/>
      <c r="J1" s="17"/>
      <c r="K1" s="17"/>
      <c r="L1" s="17"/>
      <c r="M1" s="17"/>
    </row>
    <row r="2" spans="1:35" ht="14.4" customHeight="1" x14ac:dyDescent="0.4">
      <c r="H2" s="18">
        <v>2026</v>
      </c>
      <c r="I2" s="18"/>
      <c r="J2" s="18"/>
      <c r="AA2" s="4"/>
      <c r="AB2" s="4"/>
      <c r="AC2" s="4"/>
      <c r="AD2" s="4"/>
    </row>
    <row r="3" spans="1:35" ht="14.4" customHeight="1" x14ac:dyDescent="0.4">
      <c r="H3" s="18"/>
      <c r="I3" s="18"/>
      <c r="J3" s="18"/>
      <c r="AA3" s="8"/>
      <c r="AB3" s="8"/>
      <c r="AC3" s="8"/>
      <c r="AD3" s="4"/>
    </row>
    <row r="4" spans="1:35" ht="14.4" customHeight="1" x14ac:dyDescent="0.55000000000000004">
      <c r="D4" s="7"/>
      <c r="AA4" s="8"/>
      <c r="AB4" s="8"/>
      <c r="AC4" s="8"/>
      <c r="AG4" s="7"/>
      <c r="AH4" s="1"/>
      <c r="AI4" s="1"/>
    </row>
    <row r="5" spans="1:35" ht="14.4" customHeight="1" x14ac:dyDescent="0.55000000000000004">
      <c r="D5" s="7"/>
      <c r="E5" s="7"/>
      <c r="F5" s="7"/>
      <c r="G5" s="7"/>
      <c r="AA5" s="8"/>
      <c r="AB5" s="8"/>
      <c r="AC5" s="8"/>
      <c r="AG5" s="1"/>
      <c r="AH5" s="1"/>
      <c r="AI5" s="1"/>
    </row>
    <row r="6" spans="1:35" ht="14.4" customHeight="1" x14ac:dyDescent="0.55000000000000004">
      <c r="D6" s="7"/>
      <c r="E6" s="7"/>
      <c r="F6" s="7"/>
      <c r="G6" s="7"/>
      <c r="AA6" s="8"/>
      <c r="AB6" s="8"/>
      <c r="AC6" s="8"/>
      <c r="AD6" s="9"/>
      <c r="AE6" s="9"/>
      <c r="AF6" s="9"/>
      <c r="AG6" s="10"/>
      <c r="AH6" s="1"/>
      <c r="AI6" s="1"/>
    </row>
    <row r="7" spans="1:35" ht="28.95" customHeight="1" x14ac:dyDescent="0.55000000000000004">
      <c r="D7" s="7"/>
      <c r="E7" s="7"/>
      <c r="F7" s="14" t="s">
        <v>34</v>
      </c>
      <c r="G7" s="14"/>
      <c r="H7" s="14"/>
      <c r="I7" s="15" t="s">
        <v>35</v>
      </c>
      <c r="J7" s="16"/>
      <c r="K7" s="16"/>
      <c r="Z7" s="4"/>
      <c r="AA7" s="8"/>
      <c r="AB7" s="8"/>
      <c r="AC7" s="8"/>
      <c r="AD7" s="9"/>
      <c r="AE7" s="9"/>
      <c r="AF7" s="9"/>
      <c r="AG7" s="9"/>
    </row>
    <row r="8" spans="1:35" ht="14.4" customHeight="1" x14ac:dyDescent="0.4">
      <c r="F8" s="14"/>
      <c r="G8" s="14"/>
      <c r="H8" s="14"/>
      <c r="I8" s="16"/>
      <c r="J8" s="16"/>
      <c r="K8" s="16"/>
      <c r="AA8" s="4"/>
      <c r="AC8" s="4"/>
      <c r="AD8" s="9"/>
      <c r="AE8" s="10"/>
      <c r="AF8" s="9"/>
      <c r="AG8" s="9"/>
    </row>
    <row r="9" spans="1:35" ht="28.8" x14ac:dyDescent="0.55000000000000004">
      <c r="G9" s="11">
        <f>Sheet2!B8</f>
        <v>556000</v>
      </c>
      <c r="J9" s="12">
        <f>Sheet3!B6</f>
        <v>22500</v>
      </c>
      <c r="K9" s="4"/>
      <c r="P9" s="6"/>
      <c r="Q9" s="6"/>
      <c r="R9" s="6"/>
      <c r="AA9" s="6"/>
    </row>
    <row r="10" spans="1:35" ht="21.6" customHeight="1" x14ac:dyDescent="0.3">
      <c r="L10" s="6"/>
      <c r="M10" s="6"/>
      <c r="N10" s="6"/>
      <c r="P10" s="6"/>
      <c r="Q10" s="6"/>
      <c r="R10" s="6"/>
    </row>
    <row r="11" spans="1:35" ht="14.4" customHeight="1" x14ac:dyDescent="0.3">
      <c r="P11" s="6"/>
      <c r="Q11" s="6"/>
      <c r="R11" s="6"/>
    </row>
    <row r="12" spans="1:35" ht="14.4" customHeight="1" x14ac:dyDescent="0.3">
      <c r="P12" s="6"/>
      <c r="Q12" s="6"/>
      <c r="R12" s="6"/>
    </row>
    <row r="13" spans="1:35" x14ac:dyDescent="0.3">
      <c r="P13" s="6"/>
      <c r="Q13" s="6"/>
      <c r="R13" s="6"/>
    </row>
  </sheetData>
  <mergeCells count="4">
    <mergeCell ref="F7:H8"/>
    <mergeCell ref="I7:K8"/>
    <mergeCell ref="H1:M1"/>
    <mergeCell ref="H2:J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E8862-A160-40AF-9AF7-557C73290FBC}">
  <dimension ref="A3:B8"/>
  <sheetViews>
    <sheetView workbookViewId="0">
      <selection activeCell="V24" sqref="V24"/>
    </sheetView>
  </sheetViews>
  <sheetFormatPr defaultRowHeight="14.4" x14ac:dyDescent="0.3"/>
  <cols>
    <col min="1" max="1" width="10.5546875" bestFit="1" customWidth="1"/>
    <col min="2" max="2" width="11.5546875" bestFit="1" customWidth="1"/>
  </cols>
  <sheetData>
    <row r="3" spans="1:2" x14ac:dyDescent="0.3">
      <c r="A3" s="3" t="s">
        <v>0</v>
      </c>
      <c r="B3" t="s">
        <v>7</v>
      </c>
    </row>
    <row r="4" spans="1:2" x14ac:dyDescent="0.3">
      <c r="A4" t="s">
        <v>2</v>
      </c>
      <c r="B4">
        <v>21400</v>
      </c>
    </row>
    <row r="5" spans="1:2" x14ac:dyDescent="0.3">
      <c r="A5" t="s">
        <v>3</v>
      </c>
      <c r="B5">
        <v>23500</v>
      </c>
    </row>
    <row r="6" spans="1:2" x14ac:dyDescent="0.3">
      <c r="A6" t="s">
        <v>4</v>
      </c>
      <c r="B6">
        <v>22500</v>
      </c>
    </row>
    <row r="7" spans="1:2" x14ac:dyDescent="0.3">
      <c r="A7" t="s">
        <v>5</v>
      </c>
      <c r="B7">
        <v>24900</v>
      </c>
    </row>
    <row r="8" spans="1:2" x14ac:dyDescent="0.3">
      <c r="A8" t="s">
        <v>6</v>
      </c>
      <c r="B8">
        <v>92300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85653-8B95-4590-8E7B-043C4ADF78F2}">
  <dimension ref="A3:B6"/>
  <sheetViews>
    <sheetView workbookViewId="0">
      <selection activeCell="A3" sqref="A3"/>
    </sheetView>
  </sheetViews>
  <sheetFormatPr defaultRowHeight="14.4" x14ac:dyDescent="0.3"/>
  <cols>
    <col min="1" max="1" width="10.5546875" bestFit="1" customWidth="1"/>
    <col min="2" max="2" width="11.5546875" bestFit="1" customWidth="1"/>
  </cols>
  <sheetData>
    <row r="3" spans="1:2" x14ac:dyDescent="0.3">
      <c r="A3" s="3" t="s">
        <v>8</v>
      </c>
      <c r="B3" t="s">
        <v>1</v>
      </c>
    </row>
    <row r="4" spans="1:2" x14ac:dyDescent="0.3">
      <c r="A4" t="s">
        <v>9</v>
      </c>
      <c r="B4">
        <v>364000</v>
      </c>
    </row>
    <row r="5" spans="1:2" x14ac:dyDescent="0.3">
      <c r="A5" t="s">
        <v>10</v>
      </c>
      <c r="B5">
        <v>192000</v>
      </c>
    </row>
    <row r="6" spans="1:2" x14ac:dyDescent="0.3">
      <c r="A6" t="s">
        <v>6</v>
      </c>
      <c r="B6">
        <v>556000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AAB3C-DA35-4E57-9157-57736551EF64}">
  <dimension ref="A3:B24"/>
  <sheetViews>
    <sheetView workbookViewId="0">
      <selection activeCell="U16" sqref="U16"/>
    </sheetView>
  </sheetViews>
  <sheetFormatPr defaultRowHeight="14.4" x14ac:dyDescent="0.3"/>
  <cols>
    <col min="1" max="1" width="10.5546875" bestFit="1" customWidth="1"/>
    <col min="2" max="2" width="11.109375" bestFit="1" customWidth="1"/>
  </cols>
  <sheetData>
    <row r="3" spans="1:2" x14ac:dyDescent="0.3">
      <c r="A3" s="3" t="s">
        <v>11</v>
      </c>
      <c r="B3" t="s">
        <v>1</v>
      </c>
    </row>
    <row r="4" spans="1:2" x14ac:dyDescent="0.3">
      <c r="A4" t="s">
        <v>12</v>
      </c>
      <c r="B4">
        <v>22000</v>
      </c>
    </row>
    <row r="5" spans="1:2" x14ac:dyDescent="0.3">
      <c r="A5" t="s">
        <v>13</v>
      </c>
      <c r="B5">
        <v>26000</v>
      </c>
    </row>
    <row r="6" spans="1:2" x14ac:dyDescent="0.3">
      <c r="A6" t="s">
        <v>14</v>
      </c>
      <c r="B6">
        <v>55000</v>
      </c>
    </row>
    <row r="7" spans="1:2" x14ac:dyDescent="0.3">
      <c r="A7" t="s">
        <v>15</v>
      </c>
      <c r="B7">
        <v>20000</v>
      </c>
    </row>
    <row r="8" spans="1:2" x14ac:dyDescent="0.3">
      <c r="A8" t="s">
        <v>16</v>
      </c>
      <c r="B8">
        <v>14000</v>
      </c>
    </row>
    <row r="9" spans="1:2" x14ac:dyDescent="0.3">
      <c r="A9" t="s">
        <v>17</v>
      </c>
      <c r="B9">
        <v>16000</v>
      </c>
    </row>
    <row r="10" spans="1:2" x14ac:dyDescent="0.3">
      <c r="A10" t="s">
        <v>18</v>
      </c>
      <c r="B10">
        <v>58000</v>
      </c>
    </row>
    <row r="11" spans="1:2" x14ac:dyDescent="0.3">
      <c r="A11" t="s">
        <v>19</v>
      </c>
      <c r="B11">
        <v>19000</v>
      </c>
    </row>
    <row r="12" spans="1:2" x14ac:dyDescent="0.3">
      <c r="A12" t="s">
        <v>20</v>
      </c>
      <c r="B12">
        <v>34000</v>
      </c>
    </row>
    <row r="13" spans="1:2" x14ac:dyDescent="0.3">
      <c r="A13" t="s">
        <v>21</v>
      </c>
      <c r="B13">
        <v>28000</v>
      </c>
    </row>
    <row r="14" spans="1:2" x14ac:dyDescent="0.3">
      <c r="A14" s="2">
        <v>46023</v>
      </c>
      <c r="B14">
        <v>50000</v>
      </c>
    </row>
    <row r="15" spans="1:2" x14ac:dyDescent="0.3">
      <c r="A15" s="2">
        <v>46024</v>
      </c>
      <c r="B15">
        <v>32000</v>
      </c>
    </row>
    <row r="16" spans="1:2" x14ac:dyDescent="0.3">
      <c r="A16" s="2">
        <v>46082</v>
      </c>
      <c r="B16">
        <v>25000</v>
      </c>
    </row>
    <row r="17" spans="1:2" x14ac:dyDescent="0.3">
      <c r="A17" s="2">
        <v>46143</v>
      </c>
      <c r="B17">
        <v>12000</v>
      </c>
    </row>
    <row r="18" spans="1:2" x14ac:dyDescent="0.3">
      <c r="A18" s="2">
        <v>46144</v>
      </c>
      <c r="B18">
        <v>52000</v>
      </c>
    </row>
    <row r="19" spans="1:2" x14ac:dyDescent="0.3">
      <c r="A19" s="2">
        <v>46235</v>
      </c>
      <c r="B19">
        <v>18000</v>
      </c>
    </row>
    <row r="20" spans="1:2" x14ac:dyDescent="0.3">
      <c r="A20" s="2">
        <v>46236</v>
      </c>
      <c r="B20">
        <v>17000</v>
      </c>
    </row>
    <row r="21" spans="1:2" x14ac:dyDescent="0.3">
      <c r="A21" s="2">
        <v>46296</v>
      </c>
      <c r="B21">
        <v>15000</v>
      </c>
    </row>
    <row r="22" spans="1:2" x14ac:dyDescent="0.3">
      <c r="A22" s="2">
        <v>46357</v>
      </c>
      <c r="B22">
        <v>30000</v>
      </c>
    </row>
    <row r="23" spans="1:2" x14ac:dyDescent="0.3">
      <c r="A23" s="2">
        <v>46358</v>
      </c>
      <c r="B23">
        <v>13000</v>
      </c>
    </row>
    <row r="24" spans="1:2" x14ac:dyDescent="0.3">
      <c r="A24" t="s">
        <v>6</v>
      </c>
      <c r="B24">
        <v>556000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CB053-BBED-4D4D-A899-E46BB7750675}">
  <dimension ref="A3:B10"/>
  <sheetViews>
    <sheetView workbookViewId="0">
      <selection activeCell="J16" sqref="J16"/>
    </sheetView>
  </sheetViews>
  <sheetFormatPr defaultRowHeight="14.4" x14ac:dyDescent="0.3"/>
  <cols>
    <col min="1" max="1" width="12.44140625" bestFit="1" customWidth="1"/>
    <col min="2" max="2" width="11.5546875" bestFit="1" customWidth="1"/>
  </cols>
  <sheetData>
    <row r="3" spans="1:2" x14ac:dyDescent="0.3">
      <c r="A3" s="3" t="s">
        <v>22</v>
      </c>
      <c r="B3" t="s">
        <v>1</v>
      </c>
    </row>
    <row r="4" spans="1:2" x14ac:dyDescent="0.3">
      <c r="A4" s="5" t="s">
        <v>23</v>
      </c>
      <c r="B4">
        <v>39000</v>
      </c>
    </row>
    <row r="5" spans="1:2" x14ac:dyDescent="0.3">
      <c r="A5" s="5" t="s">
        <v>24</v>
      </c>
      <c r="B5">
        <v>215000</v>
      </c>
    </row>
    <row r="6" spans="1:2" x14ac:dyDescent="0.3">
      <c r="A6" s="5" t="s">
        <v>25</v>
      </c>
      <c r="B6">
        <v>101000</v>
      </c>
    </row>
    <row r="7" spans="1:2" x14ac:dyDescent="0.3">
      <c r="A7" s="5" t="s">
        <v>26</v>
      </c>
      <c r="B7">
        <v>48000</v>
      </c>
    </row>
    <row r="8" spans="1:2" x14ac:dyDescent="0.3">
      <c r="A8" s="5" t="s">
        <v>27</v>
      </c>
      <c r="B8">
        <v>96000</v>
      </c>
    </row>
    <row r="9" spans="1:2" x14ac:dyDescent="0.3">
      <c r="A9" s="5" t="s">
        <v>28</v>
      </c>
      <c r="B9">
        <v>57000</v>
      </c>
    </row>
    <row r="10" spans="1:2" x14ac:dyDescent="0.3">
      <c r="A10" s="5" t="s">
        <v>6</v>
      </c>
      <c r="B10">
        <v>556000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workbookViewId="0">
      <selection activeCell="E12" sqref="A2:H21"/>
    </sheetView>
  </sheetViews>
  <sheetFormatPr defaultRowHeight="14.4" x14ac:dyDescent="0.3"/>
  <cols>
    <col min="1" max="1" width="10.5546875" bestFit="1" customWidth="1"/>
    <col min="2" max="2" width="10.88671875" bestFit="1" customWidth="1"/>
    <col min="4" max="4" width="10.109375" bestFit="1" customWidth="1"/>
    <col min="5" max="5" width="11.109375" bestFit="1" customWidth="1"/>
    <col min="8" max="8" width="11.33203125" bestFit="1" customWidth="1"/>
  </cols>
  <sheetData>
    <row r="1" spans="1:8" x14ac:dyDescent="0.3">
      <c r="A1" s="1" t="s">
        <v>29</v>
      </c>
      <c r="B1" s="1" t="s">
        <v>11</v>
      </c>
      <c r="C1" s="1" t="s">
        <v>0</v>
      </c>
      <c r="D1" s="1" t="s">
        <v>30</v>
      </c>
      <c r="E1" s="1" t="s">
        <v>8</v>
      </c>
      <c r="F1" s="1" t="s">
        <v>31</v>
      </c>
      <c r="G1" s="1" t="s">
        <v>32</v>
      </c>
      <c r="H1" s="1" t="s">
        <v>33</v>
      </c>
    </row>
    <row r="2" spans="1:8" x14ac:dyDescent="0.3">
      <c r="A2">
        <v>1001</v>
      </c>
      <c r="B2" s="2">
        <v>46023</v>
      </c>
      <c r="C2" t="s">
        <v>4</v>
      </c>
      <c r="D2" t="s">
        <v>24</v>
      </c>
      <c r="E2" t="s">
        <v>9</v>
      </c>
      <c r="F2">
        <v>50000</v>
      </c>
      <c r="G2">
        <v>8000</v>
      </c>
      <c r="H2">
        <v>2</v>
      </c>
    </row>
    <row r="3" spans="1:8" x14ac:dyDescent="0.3">
      <c r="A3">
        <v>1002</v>
      </c>
      <c r="B3" s="2">
        <v>46082</v>
      </c>
      <c r="C3" t="s">
        <v>3</v>
      </c>
      <c r="D3" t="s">
        <v>25</v>
      </c>
      <c r="E3" t="s">
        <v>9</v>
      </c>
      <c r="F3">
        <v>25000</v>
      </c>
      <c r="G3">
        <v>4000</v>
      </c>
      <c r="H3">
        <v>3</v>
      </c>
    </row>
    <row r="4" spans="1:8" x14ac:dyDescent="0.3">
      <c r="A4">
        <v>1003</v>
      </c>
      <c r="B4" s="2">
        <v>46143</v>
      </c>
      <c r="C4" t="s">
        <v>2</v>
      </c>
      <c r="D4" t="s">
        <v>23</v>
      </c>
      <c r="E4" t="s">
        <v>10</v>
      </c>
      <c r="F4">
        <v>12000</v>
      </c>
      <c r="G4">
        <v>2500</v>
      </c>
      <c r="H4">
        <v>4</v>
      </c>
    </row>
    <row r="5" spans="1:8" x14ac:dyDescent="0.3">
      <c r="A5">
        <v>1004</v>
      </c>
      <c r="B5" s="2">
        <v>46235</v>
      </c>
      <c r="C5" t="s">
        <v>5</v>
      </c>
      <c r="D5" t="s">
        <v>28</v>
      </c>
      <c r="E5" t="s">
        <v>10</v>
      </c>
      <c r="F5">
        <v>18000</v>
      </c>
      <c r="G5">
        <v>3000</v>
      </c>
      <c r="H5">
        <v>2</v>
      </c>
    </row>
    <row r="6" spans="1:8" x14ac:dyDescent="0.3">
      <c r="A6">
        <v>1005</v>
      </c>
      <c r="B6" s="2">
        <v>46296</v>
      </c>
      <c r="C6" t="s">
        <v>4</v>
      </c>
      <c r="D6" t="s">
        <v>26</v>
      </c>
      <c r="E6" t="s">
        <v>9</v>
      </c>
      <c r="F6">
        <v>15000</v>
      </c>
      <c r="G6">
        <v>2000</v>
      </c>
      <c r="H6">
        <v>2</v>
      </c>
    </row>
    <row r="7" spans="1:8" x14ac:dyDescent="0.3">
      <c r="A7">
        <v>1006</v>
      </c>
      <c r="B7" s="2">
        <v>46357</v>
      </c>
      <c r="C7" t="s">
        <v>3</v>
      </c>
      <c r="D7" t="s">
        <v>27</v>
      </c>
      <c r="E7" t="s">
        <v>10</v>
      </c>
      <c r="F7">
        <v>30000</v>
      </c>
      <c r="G7">
        <v>5000</v>
      </c>
      <c r="H7">
        <v>1</v>
      </c>
    </row>
    <row r="8" spans="1:8" x14ac:dyDescent="0.3">
      <c r="A8">
        <v>1007</v>
      </c>
      <c r="B8" t="s">
        <v>12</v>
      </c>
      <c r="C8" t="s">
        <v>2</v>
      </c>
      <c r="D8" t="s">
        <v>25</v>
      </c>
      <c r="E8" t="s">
        <v>9</v>
      </c>
      <c r="F8">
        <v>22000</v>
      </c>
      <c r="G8">
        <v>3500</v>
      </c>
      <c r="H8">
        <v>2</v>
      </c>
    </row>
    <row r="9" spans="1:8" x14ac:dyDescent="0.3">
      <c r="A9">
        <v>1008</v>
      </c>
      <c r="B9" t="s">
        <v>14</v>
      </c>
      <c r="C9" t="s">
        <v>5</v>
      </c>
      <c r="D9" t="s">
        <v>24</v>
      </c>
      <c r="E9" t="s">
        <v>9</v>
      </c>
      <c r="F9">
        <v>55000</v>
      </c>
      <c r="G9">
        <v>9000</v>
      </c>
      <c r="H9">
        <v>2</v>
      </c>
    </row>
    <row r="10" spans="1:8" x14ac:dyDescent="0.3">
      <c r="A10">
        <v>1009</v>
      </c>
      <c r="B10" t="s">
        <v>16</v>
      </c>
      <c r="C10" t="s">
        <v>4</v>
      </c>
      <c r="D10" t="s">
        <v>23</v>
      </c>
      <c r="E10" t="s">
        <v>10</v>
      </c>
      <c r="F10">
        <v>14000</v>
      </c>
      <c r="G10">
        <v>2800</v>
      </c>
      <c r="H10">
        <v>5</v>
      </c>
    </row>
    <row r="11" spans="1:8" x14ac:dyDescent="0.3">
      <c r="A11">
        <v>1010</v>
      </c>
      <c r="B11" t="s">
        <v>17</v>
      </c>
      <c r="C11" t="s">
        <v>3</v>
      </c>
      <c r="D11" t="s">
        <v>26</v>
      </c>
      <c r="E11" t="s">
        <v>9</v>
      </c>
      <c r="F11">
        <v>16000</v>
      </c>
      <c r="G11">
        <v>2500</v>
      </c>
      <c r="H11">
        <v>2</v>
      </c>
    </row>
    <row r="12" spans="1:8" x14ac:dyDescent="0.3">
      <c r="A12">
        <v>1011</v>
      </c>
      <c r="B12" t="s">
        <v>19</v>
      </c>
      <c r="C12" t="s">
        <v>2</v>
      </c>
      <c r="D12" t="s">
        <v>28</v>
      </c>
      <c r="E12" t="s">
        <v>10</v>
      </c>
      <c r="F12">
        <v>19000</v>
      </c>
      <c r="G12">
        <v>3200</v>
      </c>
      <c r="H12">
        <v>2</v>
      </c>
    </row>
    <row r="13" spans="1:8" x14ac:dyDescent="0.3">
      <c r="A13">
        <v>1012</v>
      </c>
      <c r="B13" t="s">
        <v>21</v>
      </c>
      <c r="C13" t="s">
        <v>5</v>
      </c>
      <c r="D13" t="s">
        <v>25</v>
      </c>
      <c r="E13" t="s">
        <v>9</v>
      </c>
      <c r="F13">
        <v>28000</v>
      </c>
      <c r="G13">
        <v>4500</v>
      </c>
      <c r="H13">
        <v>3</v>
      </c>
    </row>
    <row r="14" spans="1:8" x14ac:dyDescent="0.3">
      <c r="A14">
        <v>1013</v>
      </c>
      <c r="B14" s="2">
        <v>46024</v>
      </c>
      <c r="C14" t="s">
        <v>4</v>
      </c>
      <c r="D14" t="s">
        <v>27</v>
      </c>
      <c r="E14" t="s">
        <v>10</v>
      </c>
      <c r="F14">
        <v>32000</v>
      </c>
      <c r="G14">
        <v>5500</v>
      </c>
      <c r="H14">
        <v>1</v>
      </c>
    </row>
    <row r="15" spans="1:8" x14ac:dyDescent="0.3">
      <c r="A15">
        <v>1014</v>
      </c>
      <c r="B15" s="2">
        <v>46144</v>
      </c>
      <c r="C15" t="s">
        <v>3</v>
      </c>
      <c r="D15" t="s">
        <v>24</v>
      </c>
      <c r="E15" t="s">
        <v>9</v>
      </c>
      <c r="F15">
        <v>52000</v>
      </c>
      <c r="G15">
        <v>8500</v>
      </c>
      <c r="H15">
        <v>2</v>
      </c>
    </row>
    <row r="16" spans="1:8" x14ac:dyDescent="0.3">
      <c r="A16">
        <v>1015</v>
      </c>
      <c r="B16" s="2">
        <v>46236</v>
      </c>
      <c r="C16" t="s">
        <v>2</v>
      </c>
      <c r="D16" t="s">
        <v>26</v>
      </c>
      <c r="E16" t="s">
        <v>9</v>
      </c>
      <c r="F16">
        <v>17000</v>
      </c>
      <c r="G16">
        <v>2700</v>
      </c>
      <c r="H16">
        <v>2</v>
      </c>
    </row>
    <row r="17" spans="1:8" x14ac:dyDescent="0.3">
      <c r="A17">
        <v>1016</v>
      </c>
      <c r="B17" s="2">
        <v>46358</v>
      </c>
      <c r="C17" t="s">
        <v>5</v>
      </c>
      <c r="D17" t="s">
        <v>23</v>
      </c>
      <c r="E17" t="s">
        <v>10</v>
      </c>
      <c r="F17">
        <v>13000</v>
      </c>
      <c r="G17">
        <v>2400</v>
      </c>
      <c r="H17">
        <v>4</v>
      </c>
    </row>
    <row r="18" spans="1:8" x14ac:dyDescent="0.3">
      <c r="A18">
        <v>1017</v>
      </c>
      <c r="B18" t="s">
        <v>13</v>
      </c>
      <c r="C18" t="s">
        <v>4</v>
      </c>
      <c r="D18" t="s">
        <v>25</v>
      </c>
      <c r="E18" t="s">
        <v>9</v>
      </c>
      <c r="F18">
        <v>26000</v>
      </c>
      <c r="G18">
        <v>4200</v>
      </c>
      <c r="H18">
        <v>3</v>
      </c>
    </row>
    <row r="19" spans="1:8" x14ac:dyDescent="0.3">
      <c r="A19">
        <v>1018</v>
      </c>
      <c r="B19" t="s">
        <v>15</v>
      </c>
      <c r="C19" t="s">
        <v>3</v>
      </c>
      <c r="D19" t="s">
        <v>28</v>
      </c>
      <c r="E19" t="s">
        <v>10</v>
      </c>
      <c r="F19">
        <v>20000</v>
      </c>
      <c r="G19">
        <v>3500</v>
      </c>
      <c r="H19">
        <v>2</v>
      </c>
    </row>
    <row r="20" spans="1:8" x14ac:dyDescent="0.3">
      <c r="A20">
        <v>1019</v>
      </c>
      <c r="B20" t="s">
        <v>18</v>
      </c>
      <c r="C20" t="s">
        <v>2</v>
      </c>
      <c r="D20" t="s">
        <v>24</v>
      </c>
      <c r="E20" t="s">
        <v>9</v>
      </c>
      <c r="F20">
        <v>58000</v>
      </c>
      <c r="G20">
        <v>9500</v>
      </c>
      <c r="H20">
        <v>2</v>
      </c>
    </row>
    <row r="21" spans="1:8" x14ac:dyDescent="0.3">
      <c r="A21">
        <v>1020</v>
      </c>
      <c r="B21" t="s">
        <v>20</v>
      </c>
      <c r="C21" t="s">
        <v>5</v>
      </c>
      <c r="D21" t="s">
        <v>27</v>
      </c>
      <c r="E21" t="s">
        <v>10</v>
      </c>
      <c r="F21">
        <v>34000</v>
      </c>
      <c r="G21">
        <v>6000</v>
      </c>
      <c r="H21">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94450-C3A1-46AF-80A9-1FCD6C56C4B9}">
  <dimension ref="A1"/>
  <sheetViews>
    <sheetView topLeftCell="A5" workbookViewId="0">
      <selection activeCell="I11" sqref="I11"/>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6182C-7457-4BC8-A42E-9072112695D8}">
  <dimension ref="A1"/>
  <sheetViews>
    <sheetView topLeftCell="A13" workbookViewId="0">
      <selection activeCell="H21" sqref="H21"/>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Sheet7</vt:lpstr>
      <vt:lpstr>Sheet3</vt:lpstr>
      <vt:lpstr>Sheet4</vt:lpstr>
      <vt:lpstr>Sheet5</vt:lpstr>
      <vt:lpstr>Sheet 6</vt:lpstr>
      <vt:lpstr>Sheet1</vt:lpstr>
      <vt:lpstr>Sheet8</vt:lpstr>
      <vt:lpstr>Sheet9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RAMYA REDDY</dc:creator>
  <cp:keywords/>
  <dc:description/>
  <cp:lastModifiedBy>RAMYA REDDY</cp:lastModifiedBy>
  <cp:revision/>
  <dcterms:created xsi:type="dcterms:W3CDTF">2026-06-22T10:17:37Z</dcterms:created>
  <dcterms:modified xsi:type="dcterms:W3CDTF">2026-06-22T15:20:43Z</dcterms:modified>
  <cp:category/>
  <cp:contentStatus/>
</cp:coreProperties>
</file>